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filterPrivacy="1"/>
  <xr:revisionPtr revIDLastSave="0" documentId="13_ncr:1_{09BA8B77-D50C-0F4D-83C5-509C83BDD7A1}" xr6:coauthVersionLast="47" xr6:coauthVersionMax="47" xr10:uidLastSave="{00000000-0000-0000-0000-000000000000}"/>
  <bookViews>
    <workbookView xWindow="0" yWindow="500" windowWidth="33600" windowHeight="19240" tabRatio="721" xr2:uid="{00000000-000D-0000-FFFF-FFFF00000000}"/>
  </bookViews>
  <sheets>
    <sheet name="Données CARS" sheetId="1" r:id="rId1"/>
    <sheet name="Données sur les appe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1" i="2" l="1"/>
  <c r="O26" i="2"/>
  <c r="J35" i="2"/>
  <c r="B26" i="2"/>
  <c r="B49" i="2"/>
  <c r="B48" i="2"/>
  <c r="B47" i="2"/>
  <c r="B46" i="2"/>
  <c r="D38" i="2"/>
  <c r="E38" i="2"/>
  <c r="F38" i="2"/>
  <c r="G38" i="2"/>
  <c r="G46" i="2" s="1"/>
  <c r="H38" i="2"/>
  <c r="H46" i="2" s="1"/>
  <c r="I38" i="2"/>
  <c r="I46" i="2" s="1"/>
  <c r="J38" i="2"/>
  <c r="K38" i="2"/>
  <c r="L38" i="2"/>
  <c r="M38" i="2"/>
  <c r="N38" i="2"/>
  <c r="O38" i="2"/>
  <c r="P38" i="2"/>
  <c r="Q38" i="2"/>
  <c r="R38" i="2"/>
  <c r="S38" i="2"/>
  <c r="T38" i="2"/>
  <c r="U38" i="2"/>
  <c r="V38" i="2"/>
  <c r="W38" i="2"/>
  <c r="X38" i="2"/>
  <c r="D39" i="2"/>
  <c r="D47" i="2" s="1"/>
  <c r="E39" i="2"/>
  <c r="F39" i="2"/>
  <c r="G39" i="2"/>
  <c r="H39" i="2"/>
  <c r="H47" i="2" s="1"/>
  <c r="I39" i="2"/>
  <c r="J39" i="2"/>
  <c r="K39" i="2"/>
  <c r="L39" i="2"/>
  <c r="M39" i="2"/>
  <c r="N39" i="2"/>
  <c r="O39" i="2"/>
  <c r="P39" i="2"/>
  <c r="Q39" i="2"/>
  <c r="Q47" i="2" s="1"/>
  <c r="R39" i="2"/>
  <c r="S39" i="2"/>
  <c r="S47" i="2" s="1"/>
  <c r="T39" i="2"/>
  <c r="U39" i="2"/>
  <c r="V39" i="2"/>
  <c r="W39" i="2"/>
  <c r="X39" i="2"/>
  <c r="D40" i="2"/>
  <c r="E40" i="2"/>
  <c r="F40" i="2"/>
  <c r="G40" i="2"/>
  <c r="G48" i="2" s="1"/>
  <c r="H40" i="2"/>
  <c r="I40" i="2"/>
  <c r="J40" i="2"/>
  <c r="K40" i="2"/>
  <c r="L40" i="2"/>
  <c r="M40" i="2"/>
  <c r="N40" i="2"/>
  <c r="O40" i="2"/>
  <c r="P40" i="2"/>
  <c r="P48" i="2" s="1"/>
  <c r="Q40" i="2"/>
  <c r="Q48" i="2" s="1"/>
  <c r="R40" i="2"/>
  <c r="R48" i="2" s="1"/>
  <c r="S40" i="2"/>
  <c r="S48" i="2" s="1"/>
  <c r="T40" i="2"/>
  <c r="T48" i="2" s="1"/>
  <c r="U40" i="2"/>
  <c r="V40" i="2"/>
  <c r="V48" i="2" s="1"/>
  <c r="W40" i="2"/>
  <c r="W48" i="2" s="1"/>
  <c r="X40" i="2"/>
  <c r="X48" i="2" s="1"/>
  <c r="D41" i="2"/>
  <c r="D49" i="2" s="1"/>
  <c r="E41" i="2"/>
  <c r="E49" i="2" s="1"/>
  <c r="F41" i="2"/>
  <c r="F49" i="2" s="1"/>
  <c r="G41" i="2"/>
  <c r="H41" i="2"/>
  <c r="I41" i="2"/>
  <c r="I49" i="2" s="1"/>
  <c r="J41" i="2"/>
  <c r="J49" i="2" s="1"/>
  <c r="K41" i="2"/>
  <c r="K49" i="2" s="1"/>
  <c r="L41" i="2"/>
  <c r="L49" i="2" s="1"/>
  <c r="M41" i="2"/>
  <c r="M49" i="2" s="1"/>
  <c r="N41" i="2"/>
  <c r="N49" i="2" s="1"/>
  <c r="O41" i="2"/>
  <c r="O49" i="2" s="1"/>
  <c r="P41" i="2"/>
  <c r="P49" i="2" s="1"/>
  <c r="Q41" i="2"/>
  <c r="Q49" i="2" s="1"/>
  <c r="R41" i="2"/>
  <c r="R49" i="2" s="1"/>
  <c r="S41" i="2"/>
  <c r="S49" i="2" s="1"/>
  <c r="T41" i="2"/>
  <c r="T49" i="2" s="1"/>
  <c r="U41" i="2"/>
  <c r="V41" i="2"/>
  <c r="W41" i="2"/>
  <c r="W49" i="2" s="1"/>
  <c r="X41" i="2"/>
  <c r="X49" i="2" s="1"/>
  <c r="C41" i="2"/>
  <c r="C40" i="2"/>
  <c r="C39" i="2"/>
  <c r="C38" i="2"/>
  <c r="B40" i="2"/>
  <c r="B39" i="2"/>
  <c r="B38" i="2"/>
  <c r="B34" i="2"/>
  <c r="B35" i="2" s="1"/>
  <c r="B33" i="2"/>
  <c r="B32" i="2"/>
  <c r="B31" i="2"/>
  <c r="B30" i="2"/>
  <c r="B25" i="2"/>
  <c r="B24" i="2"/>
  <c r="B23" i="2"/>
  <c r="C22" i="2"/>
  <c r="B22" i="2"/>
  <c r="L35" i="2"/>
  <c r="M35" i="2"/>
  <c r="N35" i="2"/>
  <c r="O35" i="2"/>
  <c r="P35" i="2"/>
  <c r="Q35" i="2"/>
  <c r="R35" i="2"/>
  <c r="S35" i="2"/>
  <c r="T35" i="2"/>
  <c r="U35" i="2"/>
  <c r="V35" i="2"/>
  <c r="W35" i="2"/>
  <c r="X35" i="2"/>
  <c r="Y35" i="2"/>
  <c r="C35" i="2"/>
  <c r="D35" i="2"/>
  <c r="E35" i="2"/>
  <c r="F35" i="2"/>
  <c r="G35" i="2"/>
  <c r="H35" i="2"/>
  <c r="I35" i="2"/>
  <c r="A45" i="2"/>
  <c r="A37" i="2"/>
  <c r="A21" i="2"/>
  <c r="C47" i="2"/>
  <c r="I47" i="2"/>
  <c r="J47" i="2"/>
  <c r="K47" i="2"/>
  <c r="L47" i="2"/>
  <c r="M47" i="2"/>
  <c r="N47" i="2"/>
  <c r="O47" i="2"/>
  <c r="P47" i="2"/>
  <c r="R47" i="2"/>
  <c r="U47" i="2"/>
  <c r="V47" i="2"/>
  <c r="W47" i="2"/>
  <c r="X47" i="2"/>
  <c r="Y39" i="2"/>
  <c r="D48" i="2"/>
  <c r="E48" i="2"/>
  <c r="F48" i="2"/>
  <c r="H48" i="2"/>
  <c r="I48" i="2"/>
  <c r="J48" i="2"/>
  <c r="K48" i="2"/>
  <c r="L48" i="2"/>
  <c r="M48" i="2"/>
  <c r="Y40" i="2"/>
  <c r="C49" i="2"/>
  <c r="H49" i="2"/>
  <c r="Y41" i="2"/>
  <c r="B41" i="2"/>
  <c r="U25" i="2"/>
  <c r="U33" i="2" s="1"/>
  <c r="U24" i="2"/>
  <c r="E47" i="2"/>
  <c r="F47" i="2"/>
  <c r="G47" i="2"/>
  <c r="Y49" i="2"/>
  <c r="J46" i="2"/>
  <c r="K46" i="2"/>
  <c r="L46" i="2"/>
  <c r="N46" i="2"/>
  <c r="O46" i="2"/>
  <c r="P46" i="2"/>
  <c r="Q46" i="2"/>
  <c r="R46" i="2"/>
  <c r="S46" i="2"/>
  <c r="T46" i="2"/>
  <c r="U46" i="2"/>
  <c r="Y38" i="2"/>
  <c r="V49" i="2"/>
  <c r="U49" i="2"/>
  <c r="Y48" i="2"/>
  <c r="C48" i="2"/>
  <c r="Y47" i="2"/>
  <c r="M46" i="2"/>
  <c r="A29" i="2"/>
  <c r="U32" i="2"/>
  <c r="V32" i="2"/>
  <c r="W32" i="2"/>
  <c r="X32" i="2"/>
  <c r="Y32" i="2"/>
  <c r="C33" i="2"/>
  <c r="W31" i="2"/>
  <c r="X31" i="2"/>
  <c r="S30" i="2"/>
  <c r="T30" i="2"/>
  <c r="E26" i="2"/>
  <c r="F26" i="2"/>
  <c r="C25" i="2"/>
  <c r="C26" i="2" s="1"/>
  <c r="D25" i="2"/>
  <c r="D33" i="2" s="1"/>
  <c r="E25" i="2"/>
  <c r="E33" i="2" s="1"/>
  <c r="F25" i="2"/>
  <c r="F33" i="2" s="1"/>
  <c r="G25" i="2"/>
  <c r="G33" i="2" s="1"/>
  <c r="H25" i="2"/>
  <c r="H33" i="2" s="1"/>
  <c r="I25" i="2"/>
  <c r="I33" i="2" s="1"/>
  <c r="J25" i="2"/>
  <c r="J33" i="2" s="1"/>
  <c r="K25" i="2"/>
  <c r="K33" i="2" s="1"/>
  <c r="L25" i="2"/>
  <c r="L33" i="2" s="1"/>
  <c r="M25" i="2"/>
  <c r="M33" i="2" s="1"/>
  <c r="N25" i="2"/>
  <c r="N33" i="2" s="1"/>
  <c r="O25" i="2"/>
  <c r="O33" i="2" s="1"/>
  <c r="P25" i="2"/>
  <c r="P33" i="2" s="1"/>
  <c r="Q25" i="2"/>
  <c r="Q33" i="2" s="1"/>
  <c r="R25" i="2"/>
  <c r="R33" i="2" s="1"/>
  <c r="S25" i="2"/>
  <c r="S33" i="2" s="1"/>
  <c r="T25" i="2"/>
  <c r="T33" i="2" s="1"/>
  <c r="V25" i="2"/>
  <c r="V26" i="2" s="1"/>
  <c r="W25" i="2"/>
  <c r="W26" i="2" s="1"/>
  <c r="X25" i="2"/>
  <c r="X33" i="2" s="1"/>
  <c r="Y25" i="2"/>
  <c r="Y33" i="2" s="1"/>
  <c r="C24" i="2"/>
  <c r="C32" i="2" s="1"/>
  <c r="D24" i="2"/>
  <c r="D32" i="2" s="1"/>
  <c r="E24" i="2"/>
  <c r="E32" i="2" s="1"/>
  <c r="F24" i="2"/>
  <c r="F32" i="2" s="1"/>
  <c r="G24" i="2"/>
  <c r="G32" i="2" s="1"/>
  <c r="H24" i="2"/>
  <c r="H32" i="2" s="1"/>
  <c r="I24" i="2"/>
  <c r="I32" i="2" s="1"/>
  <c r="J24" i="2"/>
  <c r="J32" i="2" s="1"/>
  <c r="K24" i="2"/>
  <c r="K32" i="2" s="1"/>
  <c r="L24" i="2"/>
  <c r="L32" i="2" s="1"/>
  <c r="M24" i="2"/>
  <c r="M32" i="2" s="1"/>
  <c r="N24" i="2"/>
  <c r="N32" i="2" s="1"/>
  <c r="O24" i="2"/>
  <c r="O32" i="2" s="1"/>
  <c r="P24" i="2"/>
  <c r="P32" i="2" s="1"/>
  <c r="Q24" i="2"/>
  <c r="Q32" i="2" s="1"/>
  <c r="R24" i="2"/>
  <c r="R32" i="2" s="1"/>
  <c r="S24" i="2"/>
  <c r="S32" i="2" s="1"/>
  <c r="T24" i="2"/>
  <c r="T32" i="2" s="1"/>
  <c r="V24" i="2"/>
  <c r="W24" i="2"/>
  <c r="X24" i="2"/>
  <c r="Y24" i="2"/>
  <c r="C23" i="2"/>
  <c r="C31" i="2" s="1"/>
  <c r="D23" i="2"/>
  <c r="D31" i="2" s="1"/>
  <c r="E23" i="2"/>
  <c r="E31" i="2" s="1"/>
  <c r="F23" i="2"/>
  <c r="F31" i="2" s="1"/>
  <c r="G23" i="2"/>
  <c r="G31" i="2" s="1"/>
  <c r="H23" i="2"/>
  <c r="H31" i="2" s="1"/>
  <c r="I23" i="2"/>
  <c r="I31" i="2" s="1"/>
  <c r="J23" i="2"/>
  <c r="J31" i="2" s="1"/>
  <c r="K23" i="2"/>
  <c r="K31" i="2" s="1"/>
  <c r="L23" i="2"/>
  <c r="L31" i="2" s="1"/>
  <c r="M23" i="2"/>
  <c r="M31" i="2" s="1"/>
  <c r="N23" i="2"/>
  <c r="O23" i="2"/>
  <c r="O31" i="2" s="1"/>
  <c r="P23" i="2"/>
  <c r="P31" i="2" s="1"/>
  <c r="Q23" i="2"/>
  <c r="Q31" i="2" s="1"/>
  <c r="R23" i="2"/>
  <c r="R31" i="2" s="1"/>
  <c r="S23" i="2"/>
  <c r="S31" i="2" s="1"/>
  <c r="T23" i="2"/>
  <c r="T31" i="2" s="1"/>
  <c r="U23" i="2"/>
  <c r="U31" i="2" s="1"/>
  <c r="V23" i="2"/>
  <c r="V31" i="2" s="1"/>
  <c r="W23" i="2"/>
  <c r="X23" i="2"/>
  <c r="Y23" i="2"/>
  <c r="Y31" i="2" s="1"/>
  <c r="C30" i="2"/>
  <c r="D22" i="2"/>
  <c r="D30" i="2" s="1"/>
  <c r="E22" i="2"/>
  <c r="E30" i="2" s="1"/>
  <c r="F22" i="2"/>
  <c r="F30" i="2" s="1"/>
  <c r="G22" i="2"/>
  <c r="G26" i="2" s="1"/>
  <c r="H22" i="2"/>
  <c r="H26" i="2" s="1"/>
  <c r="I22" i="2"/>
  <c r="I26" i="2" s="1"/>
  <c r="J22" i="2"/>
  <c r="J26" i="2" s="1"/>
  <c r="K22" i="2"/>
  <c r="K30" i="2" s="1"/>
  <c r="L22" i="2"/>
  <c r="L26" i="2" s="1"/>
  <c r="M22" i="2"/>
  <c r="M26" i="2" s="1"/>
  <c r="N22" i="2"/>
  <c r="N26" i="2" s="1"/>
  <c r="O22" i="2"/>
  <c r="O30" i="2" s="1"/>
  <c r="P22" i="2"/>
  <c r="P30" i="2" s="1"/>
  <c r="Q22" i="2"/>
  <c r="Q30" i="2" s="1"/>
  <c r="R22" i="2"/>
  <c r="R30" i="2" s="1"/>
  <c r="S22" i="2"/>
  <c r="T22" i="2"/>
  <c r="U22" i="2"/>
  <c r="U30" i="2" s="1"/>
  <c r="V22" i="2"/>
  <c r="V30" i="2" s="1"/>
  <c r="W22" i="2"/>
  <c r="W30" i="2" s="1"/>
  <c r="X22" i="2"/>
  <c r="X30" i="2" s="1"/>
  <c r="Y22" i="2"/>
  <c r="Y30" i="2" s="1"/>
  <c r="G42" i="2" l="1"/>
  <c r="Y26" i="2"/>
  <c r="X26" i="2"/>
  <c r="D26" i="2"/>
  <c r="Y34" i="2"/>
  <c r="E34" i="2"/>
  <c r="X34" i="2"/>
  <c r="D34" i="2"/>
  <c r="N30" i="2"/>
  <c r="M30" i="2"/>
  <c r="F42" i="2"/>
  <c r="E42" i="2"/>
  <c r="X42" i="2"/>
  <c r="W42" i="2"/>
  <c r="U26" i="2"/>
  <c r="I30" i="2"/>
  <c r="I34" i="2" s="1"/>
  <c r="T26" i="2"/>
  <c r="H30" i="2"/>
  <c r="H34" i="2" s="1"/>
  <c r="S26" i="2"/>
  <c r="G30" i="2"/>
  <c r="G34" i="2" s="1"/>
  <c r="H42" i="2"/>
  <c r="R26" i="2"/>
  <c r="Q26" i="2"/>
  <c r="F46" i="2"/>
  <c r="F50" i="2" s="1"/>
  <c r="F51" i="2" s="1"/>
  <c r="C42" i="2"/>
  <c r="P26" i="2"/>
  <c r="W33" i="2"/>
  <c r="W34" i="2" s="1"/>
  <c r="V33" i="2"/>
  <c r="V34" i="2" s="1"/>
  <c r="L30" i="2"/>
  <c r="L34" i="2" s="1"/>
  <c r="K26" i="2"/>
  <c r="J30" i="2"/>
  <c r="J34" i="2" s="1"/>
  <c r="G49" i="2"/>
  <c r="G50" i="2" s="1"/>
  <c r="G51" i="2" s="1"/>
  <c r="D42" i="2"/>
  <c r="Y42" i="2"/>
  <c r="V42" i="2"/>
  <c r="I50" i="2"/>
  <c r="I51" i="2" s="1"/>
  <c r="J50" i="2"/>
  <c r="J51" i="2" s="1"/>
  <c r="K50" i="2"/>
  <c r="K51" i="2" s="1"/>
  <c r="B42" i="2"/>
  <c r="L50" i="2"/>
  <c r="L51" i="2" s="1"/>
  <c r="P50" i="2"/>
  <c r="P51" i="2" s="1"/>
  <c r="N42" i="2"/>
  <c r="O42" i="2"/>
  <c r="T42" i="2"/>
  <c r="U42" i="2"/>
  <c r="M50" i="2"/>
  <c r="M51" i="2" s="1"/>
  <c r="Q50" i="2"/>
  <c r="Q51" i="2" s="1"/>
  <c r="R50" i="2"/>
  <c r="R51" i="2" s="1"/>
  <c r="S50" i="2"/>
  <c r="S51" i="2" s="1"/>
  <c r="H50" i="2"/>
  <c r="H51" i="2" s="1"/>
  <c r="B50" i="2"/>
  <c r="B51" i="2" s="1"/>
  <c r="V46" i="2"/>
  <c r="V50" i="2" s="1"/>
  <c r="V51" i="2" s="1"/>
  <c r="N48" i="2"/>
  <c r="N50" i="2" s="1"/>
  <c r="N51" i="2" s="1"/>
  <c r="I42" i="2"/>
  <c r="C46" i="2"/>
  <c r="C50" i="2" s="1"/>
  <c r="C51" i="2" s="1"/>
  <c r="W46" i="2"/>
  <c r="W50" i="2" s="1"/>
  <c r="W51" i="2" s="1"/>
  <c r="O48" i="2"/>
  <c r="O50" i="2" s="1"/>
  <c r="O51" i="2" s="1"/>
  <c r="J42" i="2"/>
  <c r="D46" i="2"/>
  <c r="D50" i="2" s="1"/>
  <c r="D51" i="2" s="1"/>
  <c r="X46" i="2"/>
  <c r="X50" i="2" s="1"/>
  <c r="X51" i="2" s="1"/>
  <c r="T47" i="2"/>
  <c r="T50" i="2" s="1"/>
  <c r="T51" i="2" s="1"/>
  <c r="K42" i="2"/>
  <c r="E46" i="2"/>
  <c r="E50" i="2" s="1"/>
  <c r="E51" i="2" s="1"/>
  <c r="Y46" i="2"/>
  <c r="Y50" i="2" s="1"/>
  <c r="Y51" i="2" s="1"/>
  <c r="L42" i="2"/>
  <c r="U48" i="2"/>
  <c r="U50" i="2" s="1"/>
  <c r="U51" i="2" s="1"/>
  <c r="P42" i="2"/>
  <c r="Q42" i="2"/>
  <c r="R42" i="2"/>
  <c r="S42" i="2"/>
  <c r="M42" i="2"/>
  <c r="M34" i="2"/>
  <c r="P34" i="2"/>
  <c r="N34" i="2"/>
  <c r="O34" i="2"/>
  <c r="F34" i="2"/>
  <c r="C34" i="2"/>
  <c r="U34" i="2"/>
  <c r="T34" i="2"/>
  <c r="S34" i="2"/>
  <c r="Q34" i="2"/>
  <c r="R34" i="2"/>
  <c r="K34" i="2"/>
  <c r="K35" i="2" s="1"/>
</calcChain>
</file>

<file path=xl/sharedStrings.xml><?xml version="1.0" encoding="utf-8"?>
<sst xmlns="http://schemas.openxmlformats.org/spreadsheetml/2006/main" count="197" uniqueCount="77">
  <si>
    <t>Données</t>
  </si>
  <si>
    <t>Type de la donnée</t>
  </si>
  <si>
    <t>Type d'emploi</t>
  </si>
  <si>
    <t>Nombre d'employés qui peuvent faire chef d'équipe</t>
  </si>
  <si>
    <t>Temps partiel</t>
  </si>
  <si>
    <t>Quarts non comblés par la liste de rappel</t>
  </si>
  <si>
    <t>Temps plein</t>
  </si>
  <si>
    <t>Quart de travail FDS et semaine</t>
  </si>
  <si>
    <t>Soir (14h00-22h00, 16h00-00h00, 16h00-20h00)</t>
  </si>
  <si>
    <t>Nuit (00h00-08h00)</t>
  </si>
  <si>
    <t>Données de la CARS</t>
  </si>
  <si>
    <r>
      <t xml:space="preserve">Occasionnel Temps plein :                                   </t>
    </r>
    <r>
      <rPr>
        <b/>
        <sz val="12"/>
        <color theme="1"/>
        <rFont val="Calibri"/>
        <family val="2"/>
        <scheme val="minor"/>
      </rPr>
      <t xml:space="preserve"> 13 employés</t>
    </r>
  </si>
  <si>
    <r>
      <rPr>
        <b/>
        <sz val="12"/>
        <color theme="1"/>
        <rFont val="Calibri"/>
        <family val="2"/>
        <scheme val="minor"/>
      </rPr>
      <t>01h30</t>
    </r>
    <r>
      <rPr>
        <sz val="12"/>
        <color theme="1"/>
        <rFont val="Calibri"/>
        <family val="2"/>
        <scheme val="minor"/>
      </rPr>
      <t xml:space="preserve"> pour le quart de </t>
    </r>
    <r>
      <rPr>
        <b/>
        <sz val="12"/>
        <color theme="1"/>
        <rFont val="Calibri"/>
        <family val="2"/>
        <scheme val="minor"/>
      </rPr>
      <t>08 heures</t>
    </r>
    <r>
      <rPr>
        <sz val="12"/>
        <color theme="1"/>
        <rFont val="Calibri"/>
        <family val="2"/>
        <scheme val="minor"/>
      </rPr>
      <t xml:space="preserve"> </t>
    </r>
  </si>
  <si>
    <r>
      <rPr>
        <b/>
        <sz val="12"/>
        <color theme="1"/>
        <rFont val="Calibri"/>
        <family val="2"/>
        <scheme val="minor"/>
      </rPr>
      <t>4 heure</t>
    </r>
    <r>
      <rPr>
        <sz val="12"/>
        <color theme="1"/>
        <rFont val="Calibri"/>
        <family val="2"/>
        <scheme val="minor"/>
      </rPr>
      <t xml:space="preserve"> avec </t>
    </r>
    <r>
      <rPr>
        <b/>
        <sz val="12"/>
        <color theme="1"/>
        <rFont val="Calibri"/>
        <family val="2"/>
        <scheme val="minor"/>
      </rPr>
      <t>15 min</t>
    </r>
    <r>
      <rPr>
        <sz val="12"/>
        <color theme="1"/>
        <rFont val="Calibri"/>
        <family val="2"/>
        <scheme val="minor"/>
      </rPr>
      <t xml:space="preserve"> de pause</t>
    </r>
  </si>
  <si>
    <t xml:space="preserve">Jour (07h00-15h00, 08h00-16h00, 11h30-19h30, 12h00-20h00) </t>
  </si>
  <si>
    <r>
      <rPr>
        <b/>
        <sz val="12"/>
        <color theme="1"/>
        <rFont val="Calibri"/>
        <family val="2"/>
        <scheme val="minor"/>
      </rPr>
      <t xml:space="preserve">8 </t>
    </r>
    <r>
      <rPr>
        <sz val="12"/>
        <color theme="1"/>
        <rFont val="Calibri"/>
        <family val="2"/>
        <scheme val="minor"/>
      </rPr>
      <t xml:space="preserve">     absences par jour en fin de semaine sur 56 employés</t>
    </r>
  </si>
  <si>
    <r>
      <rPr>
        <b/>
        <sz val="12"/>
        <color theme="1"/>
        <rFont val="Calibri"/>
        <family val="2"/>
        <scheme val="minor"/>
      </rPr>
      <t xml:space="preserve">3 </t>
    </r>
    <r>
      <rPr>
        <sz val="12"/>
        <color theme="1"/>
        <rFont val="Calibri"/>
        <family val="2"/>
        <scheme val="minor"/>
      </rPr>
      <t xml:space="preserve">     absence par jour par semaine sur 50 employés</t>
    </r>
  </si>
  <si>
    <t>Absences employés (avec quotas actuels)</t>
  </si>
  <si>
    <r>
      <rPr>
        <b/>
        <sz val="12"/>
        <color theme="1"/>
        <rFont val="Calibri"/>
        <family val="2"/>
        <scheme val="minor"/>
      </rPr>
      <t>6</t>
    </r>
    <r>
      <rPr>
        <sz val="12"/>
        <color theme="1"/>
        <rFont val="Calibri"/>
        <family val="2"/>
        <scheme val="minor"/>
      </rPr>
      <t xml:space="preserve">      par jours pour les jours de semaine sur 50 employés</t>
    </r>
  </si>
  <si>
    <r>
      <rPr>
        <b/>
        <sz val="12"/>
        <color theme="1"/>
        <rFont val="Calibri"/>
        <family val="2"/>
        <scheme val="minor"/>
      </rPr>
      <t xml:space="preserve">8   </t>
    </r>
    <r>
      <rPr>
        <sz val="12"/>
        <color theme="1"/>
        <rFont val="Calibri"/>
        <family val="2"/>
        <scheme val="minor"/>
      </rPr>
      <t xml:space="preserve">   par jour pour les jours en fin de semaine sur 56 employés</t>
    </r>
  </si>
  <si>
    <t>Types d'employés</t>
  </si>
  <si>
    <t>Ces employés complètent généralement du 0.4 (16 heures par semaine). Ils préfèrent généralement les quarts de soir et de fin de semaine (étudiants). Parfois, ils ont une journée disponible durant la semaine dans leur horaire. Aucune heure garantie.</t>
  </si>
  <si>
    <t>Ces employés sont disponibles à temps plein. Aucune heure garantie.</t>
  </si>
  <si>
    <r>
      <t xml:space="preserve">Réguliers temps plein détenteurs de poste :      </t>
    </r>
    <r>
      <rPr>
        <b/>
        <sz val="12"/>
        <color theme="1"/>
        <rFont val="Calibri"/>
        <family val="2"/>
        <scheme val="minor"/>
      </rPr>
      <t xml:space="preserve"> 11 employés</t>
    </r>
  </si>
  <si>
    <t>Notes</t>
  </si>
  <si>
    <r>
      <rPr>
        <b/>
        <sz val="12"/>
        <color theme="1"/>
        <rFont val="Calibri"/>
        <family val="2"/>
        <scheme val="minor"/>
      </rPr>
      <t>8 heures</t>
    </r>
    <r>
      <rPr>
        <sz val="12"/>
        <color theme="1"/>
        <rFont val="Calibri"/>
        <family val="2"/>
        <scheme val="minor"/>
      </rPr>
      <t xml:space="preserve"> avec </t>
    </r>
    <r>
      <rPr>
        <b/>
        <sz val="12"/>
        <color theme="1"/>
        <rFont val="Calibri"/>
        <family val="2"/>
        <scheme val="minor"/>
      </rPr>
      <t>01h30</t>
    </r>
    <r>
      <rPr>
        <sz val="12"/>
        <color theme="1"/>
        <rFont val="Calibri"/>
        <family val="2"/>
        <scheme val="minor"/>
      </rPr>
      <t xml:space="preserve"> de pause</t>
    </r>
  </si>
  <si>
    <t>Première pause après 2 heures de travail. Pause dîner après 4 heures de travail.</t>
  </si>
  <si>
    <r>
      <rPr>
        <b/>
        <sz val="12"/>
        <color theme="1"/>
        <rFont val="Calibri"/>
        <family val="2"/>
        <scheme val="minor"/>
      </rPr>
      <t>15 minutes</t>
    </r>
    <r>
      <rPr>
        <sz val="12"/>
        <color theme="1"/>
        <rFont val="Calibri"/>
        <family val="2"/>
        <scheme val="minor"/>
      </rPr>
      <t xml:space="preserve"> pour les quart de </t>
    </r>
    <r>
      <rPr>
        <b/>
        <sz val="12"/>
        <color theme="1"/>
        <rFont val="Calibri"/>
        <family val="2"/>
        <scheme val="minor"/>
      </rPr>
      <t>4 heures (16h00 à 20h00)</t>
    </r>
  </si>
  <si>
    <t>Navig</t>
  </si>
  <si>
    <t>Période</t>
  </si>
  <si>
    <t>5 novembre - 2 décembre</t>
  </si>
  <si>
    <t>3 décembre - 30 décembre</t>
  </si>
  <si>
    <t>1er janvier - 28 janvier</t>
  </si>
  <si>
    <t>29 janvier - 25 février</t>
  </si>
  <si>
    <t>26 février - 31 mars</t>
  </si>
  <si>
    <t>1er avril - 22 avril</t>
  </si>
  <si>
    <t>Nb moyen d'appels par jour</t>
  </si>
  <si>
    <t>Temps de prise d'appels (mins)</t>
  </si>
  <si>
    <t>0h</t>
  </si>
  <si>
    <t>1h</t>
  </si>
  <si>
    <t>2h</t>
  </si>
  <si>
    <t>3h</t>
  </si>
  <si>
    <t>4h</t>
  </si>
  <si>
    <t>5h</t>
  </si>
  <si>
    <t>6h</t>
  </si>
  <si>
    <t>7h</t>
  </si>
  <si>
    <t>8h</t>
  </si>
  <si>
    <t>9h</t>
  </si>
  <si>
    <t>10h</t>
  </si>
  <si>
    <t>11h</t>
  </si>
  <si>
    <t>12h</t>
  </si>
  <si>
    <t>13h</t>
  </si>
  <si>
    <t>14h</t>
  </si>
  <si>
    <t>15h</t>
  </si>
  <si>
    <t>16h</t>
  </si>
  <si>
    <t>17h</t>
  </si>
  <si>
    <t>18h</t>
  </si>
  <si>
    <t>19h</t>
  </si>
  <si>
    <t>20h</t>
  </si>
  <si>
    <t>21h</t>
  </si>
  <si>
    <t>22h</t>
  </si>
  <si>
    <t>23h</t>
  </si>
  <si>
    <t>Pourcentage quotidien d'appels</t>
  </si>
  <si>
    <t>RDV</t>
  </si>
  <si>
    <t>*Note : durant la semaine, la même équipe répond présentement aux appels GAP et aux appels RDV Info-Santé. Durant la fin de semaine, une équipe est dédiée aux appels GAP et l'autre aux appels Info-Santé.</t>
  </si>
  <si>
    <t>GAP semaine</t>
  </si>
  <si>
    <t>GAP FDS</t>
  </si>
  <si>
    <t>Durée des quarts de travail</t>
  </si>
  <si>
    <t>GAP : guichet d'accès à la première ligne. Normalement c'est un formulaire à remplir sur internet mais certaines personnes préfèrent l'appel et donc des agents remplissent le formulaire pour eux.</t>
  </si>
  <si>
    <t>50% des personnes pouvant être chefs d'équipe sont des détenteurs de poste et 50% sont des occasionnels</t>
  </si>
  <si>
    <t>Durée et période permise pour les pauses</t>
  </si>
  <si>
    <t>Nombre d'appel moyen par heure (</t>
  </si>
  <si>
    <t>Total</t>
  </si>
  <si>
    <t>Temps d'appel moyen par heure (</t>
  </si>
  <si>
    <r>
      <t xml:space="preserve">Occasionnel temps partiel (étudiants) :                </t>
    </r>
    <r>
      <rPr>
        <b/>
        <sz val="12"/>
        <color theme="1"/>
        <rFont val="Calibri"/>
        <family val="2"/>
        <scheme val="minor"/>
      </rPr>
      <t>62 employés</t>
    </r>
  </si>
  <si>
    <t>heures</t>
  </si>
  <si>
    <r>
      <t>Détenteurs de poste : 35 heures/semaine garanti. 9 personnes font du jour-soir (ils travaillent durant les quarts de journées durant une semaine et durant les quarts de soirée une autre semaine) et</t>
    </r>
    <r>
      <rPr>
        <sz val="11"/>
        <color rgb="FFFF0000"/>
        <rFont val="Calibri (Body)"/>
      </rPr>
      <t xml:space="preserve"> 1 personne travaille de nuit.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</si>
</sst>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sz val="11"/>
      <color theme="1"/>
      <name val="Calibri"/>
      <family val="2"/>
      <scheme val="minor"/>
    </font>
    <font>
      <b/>
      <sz val="11"/>
      <color theme="1"/>
      <name val="Calibri"/>
      <family val="2"/>
      <scheme val="minor"/>
    </font>
    <font>
      <sz val="11"/>
      <color rgb="FFFF0000"/>
      <name val="Calibri (Body)"/>
    </font>
  </fonts>
  <fills count="5">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
      <patternFill patternType="solid">
        <fgColor theme="8" tint="0.399975585192419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9" fontId="7" fillId="0" borderId="0" applyFont="0" applyFill="0" applyBorder="0" applyAlignment="0" applyProtection="0"/>
  </cellStyleXfs>
  <cellXfs count="91">
    <xf numFmtId="0" fontId="0" fillId="0" borderId="0" xfId="0"/>
    <xf numFmtId="0" fontId="3" fillId="0" borderId="0" xfId="0" applyFont="1"/>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3" fillId="3" borderId="2" xfId="0" applyFont="1" applyFill="1" applyBorder="1" applyAlignment="1">
      <alignment wrapText="1"/>
    </xf>
    <xf numFmtId="0" fontId="3" fillId="3" borderId="3" xfId="0" applyFont="1" applyFill="1" applyBorder="1"/>
    <xf numFmtId="0" fontId="4" fillId="2" borderId="8" xfId="0" applyFont="1" applyFill="1" applyBorder="1" applyAlignment="1">
      <alignment horizontal="center" vertical="center"/>
    </xf>
    <xf numFmtId="0" fontId="3" fillId="2" borderId="8" xfId="0" applyFont="1" applyFill="1" applyBorder="1"/>
    <xf numFmtId="0" fontId="4" fillId="2"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3" fillId="3" borderId="7" xfId="0" applyFont="1" applyFill="1" applyBorder="1" applyAlignment="1">
      <alignment vertical="center"/>
    </xf>
    <xf numFmtId="0" fontId="5" fillId="0" borderId="1" xfId="0" applyFont="1" applyBorder="1" applyAlignment="1">
      <alignment horizontal="center" vertical="center"/>
    </xf>
    <xf numFmtId="0" fontId="3" fillId="2" borderId="8" xfId="0" applyFont="1" applyFill="1" applyBorder="1" applyAlignment="1">
      <alignment horizontal="center"/>
    </xf>
    <xf numFmtId="0" fontId="3" fillId="3" borderId="5" xfId="0" applyFont="1" applyFill="1" applyBorder="1" applyAlignment="1">
      <alignment vertical="center"/>
    </xf>
    <xf numFmtId="0" fontId="3" fillId="3" borderId="2" xfId="0" applyFont="1" applyFill="1" applyBorder="1"/>
    <xf numFmtId="0" fontId="4" fillId="3" borderId="3" xfId="0" applyFont="1" applyFill="1" applyBorder="1" applyAlignment="1">
      <alignment horizontal="center"/>
    </xf>
    <xf numFmtId="0" fontId="4" fillId="3" borderId="9" xfId="0" applyFont="1" applyFill="1" applyBorder="1" applyAlignment="1">
      <alignment horizontal="center" vertical="center" wrapText="1"/>
    </xf>
    <xf numFmtId="0" fontId="4" fillId="3" borderId="2" xfId="0" applyFont="1" applyFill="1" applyBorder="1" applyAlignment="1">
      <alignment horizontal="left" vertical="top"/>
    </xf>
    <xf numFmtId="0" fontId="4" fillId="3" borderId="8" xfId="0" applyFont="1" applyFill="1" applyBorder="1" applyAlignment="1">
      <alignment horizontal="center"/>
    </xf>
    <xf numFmtId="0" fontId="3" fillId="2" borderId="3" xfId="0" applyFont="1" applyFill="1" applyBorder="1" applyAlignment="1">
      <alignment wrapText="1"/>
    </xf>
    <xf numFmtId="0" fontId="3" fillId="2" borderId="2" xfId="0" applyFont="1" applyFill="1" applyBorder="1" applyAlignment="1">
      <alignment wrapText="1"/>
    </xf>
    <xf numFmtId="0" fontId="0" fillId="0" borderId="0" xfId="0" applyAlignment="1">
      <alignment wrapText="1"/>
    </xf>
    <xf numFmtId="0" fontId="8" fillId="0" borderId="0" xfId="0" applyFont="1"/>
    <xf numFmtId="0" fontId="0" fillId="0" borderId="15"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4" xfId="0" applyBorder="1"/>
    <xf numFmtId="9" fontId="0" fillId="0" borderId="0" xfId="1" applyFont="1"/>
    <xf numFmtId="0" fontId="0" fillId="0" borderId="7" xfId="0" applyBorder="1"/>
    <xf numFmtId="0" fontId="0" fillId="0" borderId="26"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13" xfId="0" applyBorder="1"/>
    <xf numFmtId="0" fontId="0" fillId="0" borderId="28" xfId="0" applyBorder="1"/>
    <xf numFmtId="0" fontId="0" fillId="0" borderId="23" xfId="0" applyBorder="1"/>
    <xf numFmtId="0" fontId="0" fillId="0" borderId="24" xfId="0" applyBorder="1"/>
    <xf numFmtId="0" fontId="0" fillId="0" borderId="25" xfId="0" applyBorder="1"/>
    <xf numFmtId="0" fontId="0" fillId="0" borderId="5" xfId="0" applyBorder="1"/>
    <xf numFmtId="0" fontId="0" fillId="0" borderId="35" xfId="0" applyBorder="1"/>
    <xf numFmtId="0" fontId="0" fillId="0" borderId="27" xfId="0" applyBorder="1"/>
    <xf numFmtId="0" fontId="0" fillId="0" borderId="29" xfId="0" applyBorder="1"/>
    <xf numFmtId="0" fontId="0" fillId="0" borderId="36" xfId="0" applyBorder="1"/>
    <xf numFmtId="9" fontId="0" fillId="0" borderId="16" xfId="1" applyFont="1" applyBorder="1"/>
    <xf numFmtId="9" fontId="0" fillId="0" borderId="17" xfId="1" applyFont="1" applyBorder="1"/>
    <xf numFmtId="9" fontId="0" fillId="0" borderId="18" xfId="1" applyFont="1" applyBorder="1"/>
    <xf numFmtId="9" fontId="0" fillId="0" borderId="0" xfId="0" applyNumberFormat="1"/>
    <xf numFmtId="2" fontId="0" fillId="0" borderId="10" xfId="1" applyNumberFormat="1" applyFont="1" applyBorder="1"/>
    <xf numFmtId="2" fontId="0" fillId="0" borderId="14" xfId="1" applyNumberFormat="1" applyFont="1" applyBorder="1"/>
    <xf numFmtId="2" fontId="0" fillId="0" borderId="14" xfId="0" applyNumberFormat="1" applyBorder="1"/>
    <xf numFmtId="2" fontId="0" fillId="0" borderId="16" xfId="1" applyNumberFormat="1" applyFont="1" applyBorder="1"/>
    <xf numFmtId="0" fontId="0" fillId="0" borderId="37" xfId="0" applyBorder="1"/>
    <xf numFmtId="2" fontId="0" fillId="0" borderId="0" xfId="0" applyNumberFormat="1"/>
    <xf numFmtId="0" fontId="2" fillId="2" borderId="8" xfId="0" applyFont="1" applyFill="1" applyBorder="1"/>
    <xf numFmtId="0" fontId="2" fillId="2" borderId="2" xfId="0" applyFont="1" applyFill="1" applyBorder="1"/>
    <xf numFmtId="10" fontId="0" fillId="0" borderId="10" xfId="1" applyNumberFormat="1" applyFont="1" applyBorder="1"/>
    <xf numFmtId="10" fontId="0" fillId="0" borderId="11" xfId="1" applyNumberFormat="1" applyFont="1" applyBorder="1"/>
    <xf numFmtId="10" fontId="0" fillId="0" borderId="12" xfId="1" applyNumberFormat="1" applyFont="1" applyBorder="1"/>
    <xf numFmtId="10" fontId="0" fillId="0" borderId="14" xfId="1" applyNumberFormat="1" applyFont="1" applyBorder="1"/>
    <xf numFmtId="10" fontId="0" fillId="0" borderId="1" xfId="1" applyNumberFormat="1" applyFont="1" applyBorder="1"/>
    <xf numFmtId="10" fontId="0" fillId="0" borderId="15" xfId="1" applyNumberFormat="1" applyFont="1" applyBorder="1"/>
    <xf numFmtId="10" fontId="0" fillId="0" borderId="14" xfId="0" applyNumberFormat="1" applyBorder="1"/>
    <xf numFmtId="10" fontId="0" fillId="0" borderId="1" xfId="0" applyNumberFormat="1" applyBorder="1"/>
    <xf numFmtId="10" fontId="0" fillId="0" borderId="15" xfId="0" applyNumberFormat="1"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2" fontId="0" fillId="0" borderId="1" xfId="1" applyNumberFormat="1" applyFont="1" applyBorder="1"/>
    <xf numFmtId="2" fontId="0" fillId="0" borderId="1" xfId="0" applyNumberFormat="1" applyBorder="1"/>
    <xf numFmtId="2" fontId="0" fillId="0" borderId="11" xfId="1" applyNumberFormat="1" applyFont="1" applyBorder="1"/>
    <xf numFmtId="2" fontId="0" fillId="0" borderId="12" xfId="1" applyNumberFormat="1" applyFont="1" applyBorder="1"/>
    <xf numFmtId="2" fontId="0" fillId="0" borderId="15" xfId="1" applyNumberFormat="1" applyFont="1" applyBorder="1"/>
    <xf numFmtId="2" fontId="0" fillId="0" borderId="15" xfId="0" applyNumberFormat="1" applyBorder="1"/>
    <xf numFmtId="2" fontId="0" fillId="0" borderId="17" xfId="1" applyNumberFormat="1" applyFont="1" applyBorder="1"/>
    <xf numFmtId="2" fontId="0" fillId="0" borderId="18" xfId="1" applyNumberFormat="1" applyFont="1" applyBorder="1"/>
    <xf numFmtId="0" fontId="6" fillId="0" borderId="0" xfId="0" applyFont="1" applyAlignment="1">
      <alignment horizontal="center"/>
    </xf>
    <xf numFmtId="0" fontId="0" fillId="0" borderId="0" xfId="0" applyAlignment="1">
      <alignment horizontal="left" wrapText="1"/>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4" borderId="37" xfId="0" applyFill="1" applyBorder="1"/>
    <xf numFmtId="0" fontId="0" fillId="4" borderId="0" xfId="0" applyFill="1"/>
  </cellXfs>
  <cellStyles count="2">
    <cellStyle name="Normal" xfId="0" builtinId="0"/>
    <cellStyle name="Percent" xfId="1" builtinId="5"/>
  </cellStyles>
  <dxfs count="2">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2:B19" totalsRowShown="0" headerRowDxfId="1">
  <autoFilter ref="A2:B19" xr:uid="{00000000-0009-0000-0100-000001000000}"/>
  <tableColumns count="2">
    <tableColumn id="1" xr3:uid="{00000000-0010-0000-0000-000001000000}" name="Type de la donnée" dataDxfId="0"/>
    <tableColumn id="2" xr3:uid="{00000000-0010-0000-0000-000002000000}" name="Données"/>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topLeftCell="A2" zoomScale="133" zoomScaleNormal="85" workbookViewId="0">
      <selection activeCell="D7" sqref="D7"/>
    </sheetView>
  </sheetViews>
  <sheetFormatPr baseColWidth="10" defaultColWidth="11.5" defaultRowHeight="15" x14ac:dyDescent="0.2"/>
  <cols>
    <col min="1" max="1" width="42.6640625" bestFit="1" customWidth="1"/>
    <col min="2" max="2" width="59.6640625" bestFit="1" customWidth="1"/>
    <col min="3" max="3" width="5.33203125" customWidth="1"/>
    <col min="4" max="4" width="40.83203125" customWidth="1"/>
    <col min="5" max="5" width="16.5" bestFit="1" customWidth="1"/>
    <col min="6" max="6" width="36.5" bestFit="1" customWidth="1"/>
    <col min="7" max="7" width="23.5" bestFit="1" customWidth="1"/>
  </cols>
  <sheetData>
    <row r="1" spans="1:4" ht="31" x14ac:dyDescent="0.35">
      <c r="A1" s="84" t="s">
        <v>10</v>
      </c>
      <c r="B1" s="84"/>
      <c r="D1" s="25" t="s">
        <v>24</v>
      </c>
    </row>
    <row r="2" spans="1:4" ht="36" customHeight="1" x14ac:dyDescent="0.2">
      <c r="A2" s="14" t="s">
        <v>1</v>
      </c>
      <c r="B2" s="14" t="s">
        <v>0</v>
      </c>
    </row>
    <row r="3" spans="1:4" ht="17" x14ac:dyDescent="0.2">
      <c r="A3" s="2" t="s">
        <v>17</v>
      </c>
      <c r="B3" s="23" t="s">
        <v>15</v>
      </c>
    </row>
    <row r="4" spans="1:4" ht="17" x14ac:dyDescent="0.2">
      <c r="A4" s="3"/>
      <c r="B4" s="22" t="s">
        <v>16</v>
      </c>
    </row>
    <row r="5" spans="1:4" ht="17" x14ac:dyDescent="0.2">
      <c r="A5" s="4" t="s">
        <v>5</v>
      </c>
      <c r="B5" s="6" t="s">
        <v>18</v>
      </c>
    </row>
    <row r="6" spans="1:4" ht="16" x14ac:dyDescent="0.2">
      <c r="A6" s="5"/>
      <c r="B6" s="7" t="s">
        <v>19</v>
      </c>
    </row>
    <row r="7" spans="1:4" ht="88.5" customHeight="1" x14ac:dyDescent="0.2">
      <c r="A7" s="2" t="s">
        <v>20</v>
      </c>
      <c r="B7" s="61" t="s">
        <v>23</v>
      </c>
      <c r="D7" s="24" t="s">
        <v>76</v>
      </c>
    </row>
    <row r="8" spans="1:4" ht="32" x14ac:dyDescent="0.2">
      <c r="A8" s="8"/>
      <c r="B8" s="9" t="s">
        <v>11</v>
      </c>
      <c r="D8" s="24" t="s">
        <v>22</v>
      </c>
    </row>
    <row r="9" spans="1:4" ht="88.5" customHeight="1" x14ac:dyDescent="0.2">
      <c r="A9" s="8"/>
      <c r="B9" s="60" t="s">
        <v>74</v>
      </c>
      <c r="D9" s="24" t="s">
        <v>21</v>
      </c>
    </row>
    <row r="10" spans="1:4" ht="29" customHeight="1" x14ac:dyDescent="0.2">
      <c r="A10" s="4" t="s">
        <v>7</v>
      </c>
      <c r="B10" s="20" t="s">
        <v>14</v>
      </c>
    </row>
    <row r="11" spans="1:4" ht="16" x14ac:dyDescent="0.2">
      <c r="A11" s="19"/>
      <c r="B11" s="21" t="s">
        <v>8</v>
      </c>
    </row>
    <row r="12" spans="1:4" ht="16" x14ac:dyDescent="0.2">
      <c r="A12" s="5"/>
      <c r="B12" s="18" t="s">
        <v>9</v>
      </c>
    </row>
    <row r="13" spans="1:4" ht="16" x14ac:dyDescent="0.2">
      <c r="A13" s="8" t="s">
        <v>2</v>
      </c>
      <c r="B13" s="15" t="s">
        <v>6</v>
      </c>
    </row>
    <row r="14" spans="1:4" ht="16" x14ac:dyDescent="0.2">
      <c r="A14" s="8"/>
      <c r="B14" s="15" t="s">
        <v>4</v>
      </c>
    </row>
    <row r="15" spans="1:4" ht="31.25" customHeight="1" x14ac:dyDescent="0.2">
      <c r="A15" s="11" t="s">
        <v>70</v>
      </c>
      <c r="B15" s="16" t="s">
        <v>12</v>
      </c>
    </row>
    <row r="16" spans="1:4" ht="16" x14ac:dyDescent="0.2">
      <c r="A16" s="12"/>
      <c r="B16" s="13" t="s">
        <v>27</v>
      </c>
    </row>
    <row r="17" spans="1:4" ht="48" x14ac:dyDescent="0.2">
      <c r="A17" s="10" t="s">
        <v>3</v>
      </c>
      <c r="B17" s="3">
        <v>8</v>
      </c>
      <c r="D17" s="24" t="s">
        <v>69</v>
      </c>
    </row>
    <row r="18" spans="1:4" ht="17" x14ac:dyDescent="0.2">
      <c r="A18" s="11" t="s">
        <v>67</v>
      </c>
      <c r="B18" s="17" t="s">
        <v>25</v>
      </c>
      <c r="D18" s="85" t="s">
        <v>26</v>
      </c>
    </row>
    <row r="19" spans="1:4" ht="16" x14ac:dyDescent="0.2">
      <c r="A19" s="12"/>
      <c r="B19" s="7" t="s">
        <v>13</v>
      </c>
      <c r="D19" s="85"/>
    </row>
    <row r="20" spans="1:4" ht="16" x14ac:dyDescent="0.2">
      <c r="A20" s="1"/>
    </row>
  </sheetData>
  <mergeCells count="2">
    <mergeCell ref="A1:B1"/>
    <mergeCell ref="D18:D19"/>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1"/>
  <sheetViews>
    <sheetView zoomScale="88" zoomScaleNormal="115" workbookViewId="0">
      <selection activeCell="F10" sqref="F10"/>
    </sheetView>
  </sheetViews>
  <sheetFormatPr baseColWidth="10" defaultColWidth="8.83203125" defaultRowHeight="15" x14ac:dyDescent="0.2"/>
  <cols>
    <col min="1" max="1" width="55" customWidth="1"/>
    <col min="2" max="2" width="8.6640625" customWidth="1"/>
    <col min="3" max="3" width="12.5" customWidth="1"/>
    <col min="4" max="4" width="12.83203125" customWidth="1"/>
    <col min="5" max="5" width="14.5" customWidth="1"/>
  </cols>
  <sheetData>
    <row r="1" spans="1:27" ht="16" thickBot="1" x14ac:dyDescent="0.25">
      <c r="A1" s="31"/>
      <c r="B1" s="86" t="s">
        <v>36</v>
      </c>
      <c r="C1" s="87"/>
      <c r="D1" s="87"/>
      <c r="E1" s="88"/>
    </row>
    <row r="2" spans="1:27" ht="16" thickBot="1" x14ac:dyDescent="0.25">
      <c r="A2" s="40" t="s">
        <v>29</v>
      </c>
      <c r="B2" s="41" t="s">
        <v>28</v>
      </c>
      <c r="C2" s="40" t="s">
        <v>63</v>
      </c>
      <c r="D2" s="46" t="s">
        <v>65</v>
      </c>
      <c r="E2" s="44" t="s">
        <v>66</v>
      </c>
      <c r="H2" t="s">
        <v>68</v>
      </c>
    </row>
    <row r="3" spans="1:27" x14ac:dyDescent="0.2">
      <c r="A3" s="49" t="s">
        <v>30</v>
      </c>
      <c r="B3" s="35">
        <v>431</v>
      </c>
      <c r="C3" s="49">
        <v>396</v>
      </c>
      <c r="D3" s="33">
        <v>261</v>
      </c>
      <c r="E3" s="34">
        <v>1182</v>
      </c>
    </row>
    <row r="4" spans="1:27" x14ac:dyDescent="0.2">
      <c r="A4" s="29" t="s">
        <v>31</v>
      </c>
      <c r="B4" s="36">
        <v>870</v>
      </c>
      <c r="C4" s="29">
        <v>396</v>
      </c>
      <c r="D4" s="27">
        <v>261</v>
      </c>
      <c r="E4" s="26">
        <v>1182</v>
      </c>
    </row>
    <row r="5" spans="1:27" x14ac:dyDescent="0.2">
      <c r="A5" s="29" t="s">
        <v>32</v>
      </c>
      <c r="B5" s="36">
        <v>802</v>
      </c>
      <c r="C5" s="29">
        <v>396</v>
      </c>
      <c r="D5" s="27">
        <v>261</v>
      </c>
      <c r="E5" s="26">
        <v>1182</v>
      </c>
      <c r="J5" t="s">
        <v>71</v>
      </c>
      <c r="Q5" t="s">
        <v>73</v>
      </c>
    </row>
    <row r="6" spans="1:27" x14ac:dyDescent="0.2">
      <c r="A6" s="29" t="s">
        <v>33</v>
      </c>
      <c r="B6" s="36">
        <v>664</v>
      </c>
      <c r="C6" s="29">
        <v>396</v>
      </c>
      <c r="D6" s="27">
        <v>261</v>
      </c>
      <c r="E6" s="26">
        <v>1182</v>
      </c>
    </row>
    <row r="7" spans="1:27" x14ac:dyDescent="0.2">
      <c r="A7" s="29" t="s">
        <v>34</v>
      </c>
      <c r="B7" s="36">
        <v>600</v>
      </c>
      <c r="C7" s="29">
        <v>396</v>
      </c>
      <c r="D7" s="27">
        <v>261</v>
      </c>
      <c r="E7" s="26">
        <v>1182</v>
      </c>
    </row>
    <row r="8" spans="1:27" ht="16" thickBot="1" x14ac:dyDescent="0.25">
      <c r="A8" s="37" t="s">
        <v>35</v>
      </c>
      <c r="B8" s="38">
        <v>257</v>
      </c>
      <c r="C8" s="37">
        <v>396</v>
      </c>
      <c r="D8" s="45">
        <v>261</v>
      </c>
      <c r="E8" s="39">
        <v>1182</v>
      </c>
    </row>
    <row r="9" spans="1:27" ht="16" thickBot="1" x14ac:dyDescent="0.25">
      <c r="A9" s="40" t="s">
        <v>37</v>
      </c>
      <c r="B9" s="41">
        <v>7.5</v>
      </c>
      <c r="C9" s="47">
        <v>5.5</v>
      </c>
      <c r="D9" s="42">
        <v>5.5</v>
      </c>
      <c r="E9" s="48">
        <v>5.5</v>
      </c>
    </row>
    <row r="11" spans="1:27" x14ac:dyDescent="0.2">
      <c r="A11" t="s">
        <v>64</v>
      </c>
    </row>
    <row r="13" spans="1:27" ht="16" thickBot="1" x14ac:dyDescent="0.25"/>
    <row r="14" spans="1:27" ht="16" thickBot="1" x14ac:dyDescent="0.25">
      <c r="A14" s="42" t="s">
        <v>62</v>
      </c>
      <c r="B14" s="43" t="s">
        <v>38</v>
      </c>
      <c r="C14" s="43" t="s">
        <v>39</v>
      </c>
      <c r="D14" s="43" t="s">
        <v>40</v>
      </c>
      <c r="E14" s="43" t="s">
        <v>41</v>
      </c>
      <c r="F14" s="43" t="s">
        <v>42</v>
      </c>
      <c r="G14" s="43" t="s">
        <v>43</v>
      </c>
      <c r="H14" s="43" t="s">
        <v>44</v>
      </c>
      <c r="I14" s="43" t="s">
        <v>45</v>
      </c>
      <c r="J14" s="43" t="s">
        <v>46</v>
      </c>
      <c r="K14" s="43" t="s">
        <v>47</v>
      </c>
      <c r="L14" s="43" t="s">
        <v>48</v>
      </c>
      <c r="M14" s="43" t="s">
        <v>49</v>
      </c>
      <c r="N14" s="43" t="s">
        <v>50</v>
      </c>
      <c r="O14" s="43" t="s">
        <v>51</v>
      </c>
      <c r="P14" s="43" t="s">
        <v>52</v>
      </c>
      <c r="Q14" s="43" t="s">
        <v>53</v>
      </c>
      <c r="R14" s="43" t="s">
        <v>54</v>
      </c>
      <c r="S14" s="43" t="s">
        <v>55</v>
      </c>
      <c r="T14" s="43" t="s">
        <v>56</v>
      </c>
      <c r="U14" s="43" t="s">
        <v>57</v>
      </c>
      <c r="V14" s="43" t="s">
        <v>58</v>
      </c>
      <c r="W14" s="43" t="s">
        <v>59</v>
      </c>
      <c r="X14" s="43" t="s">
        <v>60</v>
      </c>
      <c r="Y14" s="44" t="s">
        <v>61</v>
      </c>
    </row>
    <row r="15" spans="1:27" x14ac:dyDescent="0.2">
      <c r="A15" s="28" t="s">
        <v>28</v>
      </c>
      <c r="B15" s="62">
        <v>1.5775240384615384E-2</v>
      </c>
      <c r="C15" s="63">
        <v>1.2319711538461538E-2</v>
      </c>
      <c r="D15" s="63">
        <v>1.0216346153846154E-2</v>
      </c>
      <c r="E15" s="63">
        <v>9.4651442307692301E-3</v>
      </c>
      <c r="F15" s="63">
        <v>9.1646634615384619E-3</v>
      </c>
      <c r="G15" s="63">
        <v>1.201923076923077E-2</v>
      </c>
      <c r="H15" s="63">
        <v>2.2986778846153848E-2</v>
      </c>
      <c r="I15" s="63">
        <v>4.221754807692308E-2</v>
      </c>
      <c r="J15" s="63">
        <v>7.1965144230769232E-2</v>
      </c>
      <c r="K15" s="63">
        <v>7.4368990384615391E-2</v>
      </c>
      <c r="L15" s="63">
        <v>7.0162259615384609E-2</v>
      </c>
      <c r="M15" s="63">
        <v>6.3852163461538464E-2</v>
      </c>
      <c r="N15" s="63">
        <v>5.7542067307692304E-2</v>
      </c>
      <c r="O15" s="63">
        <v>5.9945913461538464E-2</v>
      </c>
      <c r="P15" s="63">
        <v>5.5739182692307696E-2</v>
      </c>
      <c r="Q15" s="63">
        <v>5.5288461538461536E-2</v>
      </c>
      <c r="R15" s="63">
        <v>5.5739182692307696E-2</v>
      </c>
      <c r="S15" s="63">
        <v>5.6039663461538464E-2</v>
      </c>
      <c r="T15" s="63">
        <v>5.543870192307692E-2</v>
      </c>
      <c r="U15" s="63">
        <v>5.1382211538461536E-2</v>
      </c>
      <c r="V15" s="63">
        <v>4.6724759615384616E-2</v>
      </c>
      <c r="W15" s="63">
        <v>3.9362980769230768E-2</v>
      </c>
      <c r="X15" s="63">
        <v>3.064903846153846E-2</v>
      </c>
      <c r="Y15" s="64">
        <v>2.1634615384615384E-2</v>
      </c>
      <c r="Z15" s="32"/>
      <c r="AA15" s="53"/>
    </row>
    <row r="16" spans="1:27" x14ac:dyDescent="0.2">
      <c r="A16" s="29" t="s">
        <v>63</v>
      </c>
      <c r="B16" s="65">
        <v>1.5775240384615384E-2</v>
      </c>
      <c r="C16" s="66">
        <v>1.2319711538461538E-2</v>
      </c>
      <c r="D16" s="66">
        <v>1.0216346153846154E-2</v>
      </c>
      <c r="E16" s="66">
        <v>9.4651442307692301E-3</v>
      </c>
      <c r="F16" s="66">
        <v>9.1646634615384619E-3</v>
      </c>
      <c r="G16" s="66">
        <v>1.201923076923077E-2</v>
      </c>
      <c r="H16" s="66">
        <v>2.2986778846153848E-2</v>
      </c>
      <c r="I16" s="66">
        <v>4.221754807692308E-2</v>
      </c>
      <c r="J16" s="66">
        <v>7.1965144230769232E-2</v>
      </c>
      <c r="K16" s="66">
        <v>7.4368990384615391E-2</v>
      </c>
      <c r="L16" s="66">
        <v>7.0162259615384609E-2</v>
      </c>
      <c r="M16" s="66">
        <v>6.3852163461538464E-2</v>
      </c>
      <c r="N16" s="66">
        <v>5.7542067307692304E-2</v>
      </c>
      <c r="O16" s="66">
        <v>5.9945913461538464E-2</v>
      </c>
      <c r="P16" s="66">
        <v>5.5739182692307696E-2</v>
      </c>
      <c r="Q16" s="66">
        <v>5.5288461538461536E-2</v>
      </c>
      <c r="R16" s="66">
        <v>5.5739182692307696E-2</v>
      </c>
      <c r="S16" s="66">
        <v>5.6039663461538464E-2</v>
      </c>
      <c r="T16" s="66">
        <v>5.543870192307692E-2</v>
      </c>
      <c r="U16" s="66">
        <v>5.1382211538461536E-2</v>
      </c>
      <c r="V16" s="66">
        <v>4.6724759615384616E-2</v>
      </c>
      <c r="W16" s="66">
        <v>3.9362980769230768E-2</v>
      </c>
      <c r="X16" s="66">
        <v>3.064903846153846E-2</v>
      </c>
      <c r="Y16" s="67">
        <v>2.1634615384615384E-2</v>
      </c>
      <c r="AA16" s="53"/>
    </row>
    <row r="17" spans="1:27" x14ac:dyDescent="0.2">
      <c r="A17" s="29" t="s">
        <v>65</v>
      </c>
      <c r="B17" s="68">
        <v>0</v>
      </c>
      <c r="C17" s="69">
        <v>0</v>
      </c>
      <c r="D17" s="69">
        <v>0</v>
      </c>
      <c r="E17" s="69">
        <v>0</v>
      </c>
      <c r="F17" s="69">
        <v>0</v>
      </c>
      <c r="G17" s="69">
        <v>0</v>
      </c>
      <c r="H17" s="69">
        <v>0</v>
      </c>
      <c r="I17" s="69">
        <v>0</v>
      </c>
      <c r="J17" s="69">
        <v>0</v>
      </c>
      <c r="K17" s="69">
        <v>0</v>
      </c>
      <c r="L17" s="69">
        <v>0</v>
      </c>
      <c r="M17" s="69">
        <v>0</v>
      </c>
      <c r="N17" s="69">
        <v>0</v>
      </c>
      <c r="O17" s="69">
        <v>0</v>
      </c>
      <c r="P17" s="69">
        <v>0</v>
      </c>
      <c r="Q17" s="69">
        <v>0</v>
      </c>
      <c r="R17" s="69">
        <v>0</v>
      </c>
      <c r="S17" s="69">
        <v>0</v>
      </c>
      <c r="T17" s="69">
        <v>0.5</v>
      </c>
      <c r="U17" s="69">
        <v>0.5</v>
      </c>
      <c r="V17" s="69">
        <v>0</v>
      </c>
      <c r="W17" s="69">
        <v>0</v>
      </c>
      <c r="X17" s="69">
        <v>0</v>
      </c>
      <c r="Y17" s="70">
        <v>0</v>
      </c>
      <c r="AA17" s="53"/>
    </row>
    <row r="18" spans="1:27" ht="16" thickBot="1" x14ac:dyDescent="0.25">
      <c r="A18" s="30" t="s">
        <v>66</v>
      </c>
      <c r="B18" s="50">
        <v>0</v>
      </c>
      <c r="C18" s="51">
        <v>0</v>
      </c>
      <c r="D18" s="51">
        <v>0</v>
      </c>
      <c r="E18" s="51">
        <v>0</v>
      </c>
      <c r="F18" s="51">
        <v>0</v>
      </c>
      <c r="G18" s="51">
        <v>0</v>
      </c>
      <c r="H18" s="51">
        <v>0</v>
      </c>
      <c r="I18" s="51">
        <v>0</v>
      </c>
      <c r="J18" s="51">
        <v>0.14142308827871272</v>
      </c>
      <c r="K18" s="51">
        <v>0.14614703277236493</v>
      </c>
      <c r="L18" s="51">
        <v>0.13788012990847356</v>
      </c>
      <c r="M18" s="51">
        <v>0.12547977561263654</v>
      </c>
      <c r="N18" s="51">
        <v>0.11307942131679953</v>
      </c>
      <c r="O18" s="51">
        <v>0.11780336581045173</v>
      </c>
      <c r="P18" s="51">
        <v>0.10953646294656037</v>
      </c>
      <c r="Q18" s="51">
        <v>0.1086507233540006</v>
      </c>
      <c r="R18" s="51">
        <v>0</v>
      </c>
      <c r="S18" s="51">
        <v>0</v>
      </c>
      <c r="T18" s="51">
        <v>0</v>
      </c>
      <c r="U18" s="51">
        <v>0</v>
      </c>
      <c r="V18" s="51">
        <v>0</v>
      </c>
      <c r="W18" s="51">
        <v>0</v>
      </c>
      <c r="X18" s="51">
        <v>0</v>
      </c>
      <c r="Y18" s="52">
        <v>0</v>
      </c>
      <c r="AA18" s="53"/>
    </row>
    <row r="20" spans="1:27" ht="16" thickBot="1" x14ac:dyDescent="0.25"/>
    <row r="21" spans="1:27" ht="16" thickBot="1" x14ac:dyDescent="0.25">
      <c r="A21" s="42" t="str">
        <f>_xlfn.CONCAT(J5,A3,")")</f>
        <v>Nombre d'appel moyen par heure (5 novembre - 2 décembre)</v>
      </c>
      <c r="B21" s="74" t="s">
        <v>38</v>
      </c>
      <c r="C21" s="74" t="s">
        <v>39</v>
      </c>
      <c r="D21" s="74" t="s">
        <v>40</v>
      </c>
      <c r="E21" s="74" t="s">
        <v>41</v>
      </c>
      <c r="F21" s="74" t="s">
        <v>42</v>
      </c>
      <c r="G21" s="74" t="s">
        <v>43</v>
      </c>
      <c r="H21" s="74" t="s">
        <v>44</v>
      </c>
      <c r="I21" s="74" t="s">
        <v>45</v>
      </c>
      <c r="J21" s="74" t="s">
        <v>46</v>
      </c>
      <c r="K21" s="74" t="s">
        <v>47</v>
      </c>
      <c r="L21" s="74" t="s">
        <v>48</v>
      </c>
      <c r="M21" s="74" t="s">
        <v>49</v>
      </c>
      <c r="N21" s="74" t="s">
        <v>50</v>
      </c>
      <c r="O21" s="74" t="s">
        <v>51</v>
      </c>
      <c r="P21" s="74" t="s">
        <v>52</v>
      </c>
      <c r="Q21" s="74" t="s">
        <v>53</v>
      </c>
      <c r="R21" s="74" t="s">
        <v>54</v>
      </c>
      <c r="S21" s="74" t="s">
        <v>55</v>
      </c>
      <c r="T21" s="74" t="s">
        <v>56</v>
      </c>
      <c r="U21" s="74" t="s">
        <v>57</v>
      </c>
      <c r="V21" s="74" t="s">
        <v>58</v>
      </c>
      <c r="W21" s="74" t="s">
        <v>59</v>
      </c>
      <c r="X21" s="74" t="s">
        <v>60</v>
      </c>
      <c r="Y21" s="75" t="s">
        <v>61</v>
      </c>
    </row>
    <row r="22" spans="1:27" x14ac:dyDescent="0.2">
      <c r="A22" s="71" t="s">
        <v>28</v>
      </c>
      <c r="B22" s="54">
        <f>B15*$B$3</f>
        <v>6.7991286057692308</v>
      </c>
      <c r="C22" s="78">
        <f>C15*$B$3</f>
        <v>5.3097956730769225</v>
      </c>
      <c r="D22" s="78">
        <f t="shared" ref="D22:Y22" si="0">D15*$B$3</f>
        <v>4.4032451923076925</v>
      </c>
      <c r="E22" s="78">
        <f t="shared" si="0"/>
        <v>4.0794771634615383</v>
      </c>
      <c r="F22" s="78">
        <f t="shared" si="0"/>
        <v>3.9499699519230771</v>
      </c>
      <c r="G22" s="78">
        <f t="shared" si="0"/>
        <v>5.1802884615384617</v>
      </c>
      <c r="H22" s="78">
        <f t="shared" si="0"/>
        <v>9.9073016826923084</v>
      </c>
      <c r="I22" s="78">
        <f t="shared" si="0"/>
        <v>18.195763221153847</v>
      </c>
      <c r="J22" s="78">
        <f t="shared" si="0"/>
        <v>31.01697716346154</v>
      </c>
      <c r="K22" s="78">
        <f t="shared" si="0"/>
        <v>32.053034855769234</v>
      </c>
      <c r="L22" s="78">
        <f t="shared" si="0"/>
        <v>30.239933894230766</v>
      </c>
      <c r="M22" s="78">
        <f t="shared" si="0"/>
        <v>27.520282451923077</v>
      </c>
      <c r="N22" s="78">
        <f t="shared" si="0"/>
        <v>24.800631009615383</v>
      </c>
      <c r="O22" s="78">
        <f t="shared" si="0"/>
        <v>25.836688701923077</v>
      </c>
      <c r="P22" s="78">
        <f t="shared" si="0"/>
        <v>24.023587740384617</v>
      </c>
      <c r="Q22" s="78">
        <f t="shared" si="0"/>
        <v>23.829326923076923</v>
      </c>
      <c r="R22" s="78">
        <f t="shared" si="0"/>
        <v>24.023587740384617</v>
      </c>
      <c r="S22" s="78">
        <f t="shared" si="0"/>
        <v>24.153094951923077</v>
      </c>
      <c r="T22" s="78">
        <f t="shared" si="0"/>
        <v>23.894080528846153</v>
      </c>
      <c r="U22" s="78">
        <f t="shared" si="0"/>
        <v>22.145733173076923</v>
      </c>
      <c r="V22" s="78">
        <f t="shared" si="0"/>
        <v>20.13837139423077</v>
      </c>
      <c r="W22" s="78">
        <f t="shared" si="0"/>
        <v>16.96544471153846</v>
      </c>
      <c r="X22" s="78">
        <f t="shared" si="0"/>
        <v>13.209735576923077</v>
      </c>
      <c r="Y22" s="79">
        <f t="shared" si="0"/>
        <v>9.3245192307692299</v>
      </c>
    </row>
    <row r="23" spans="1:27" x14ac:dyDescent="0.2">
      <c r="A23" s="72" t="s">
        <v>63</v>
      </c>
      <c r="B23" s="55">
        <f>B16*$C$3</f>
        <v>6.2469951923076925</v>
      </c>
      <c r="C23" s="76">
        <f t="shared" ref="C23:Y23" si="1">C16*$C$3</f>
        <v>4.8786057692307692</v>
      </c>
      <c r="D23" s="76">
        <f t="shared" si="1"/>
        <v>4.0456730769230766</v>
      </c>
      <c r="E23" s="76">
        <f t="shared" si="1"/>
        <v>3.748197115384615</v>
      </c>
      <c r="F23" s="76">
        <f t="shared" si="1"/>
        <v>3.6292067307692308</v>
      </c>
      <c r="G23" s="76">
        <f t="shared" si="1"/>
        <v>4.759615384615385</v>
      </c>
      <c r="H23" s="76">
        <f t="shared" si="1"/>
        <v>9.1027644230769234</v>
      </c>
      <c r="I23" s="76">
        <f t="shared" si="1"/>
        <v>16.71814903846154</v>
      </c>
      <c r="J23" s="76">
        <f t="shared" si="1"/>
        <v>28.498197115384617</v>
      </c>
      <c r="K23" s="76">
        <f t="shared" si="1"/>
        <v>29.450120192307693</v>
      </c>
      <c r="L23" s="76">
        <f t="shared" si="1"/>
        <v>27.784254807692307</v>
      </c>
      <c r="M23" s="76">
        <f t="shared" si="1"/>
        <v>25.28545673076923</v>
      </c>
      <c r="N23" s="76">
        <f t="shared" si="1"/>
        <v>22.786658653846153</v>
      </c>
      <c r="O23" s="76">
        <f t="shared" si="1"/>
        <v>23.73858173076923</v>
      </c>
      <c r="P23" s="76">
        <f t="shared" si="1"/>
        <v>22.072716346153847</v>
      </c>
      <c r="Q23" s="76">
        <f t="shared" si="1"/>
        <v>21.89423076923077</v>
      </c>
      <c r="R23" s="76">
        <f t="shared" si="1"/>
        <v>22.072716346153847</v>
      </c>
      <c r="S23" s="76">
        <f t="shared" si="1"/>
        <v>22.19170673076923</v>
      </c>
      <c r="T23" s="76">
        <f t="shared" si="1"/>
        <v>21.95372596153846</v>
      </c>
      <c r="U23" s="76">
        <f t="shared" si="1"/>
        <v>20.34735576923077</v>
      </c>
      <c r="V23" s="76">
        <f t="shared" si="1"/>
        <v>18.503004807692307</v>
      </c>
      <c r="W23" s="76">
        <f t="shared" si="1"/>
        <v>15.587740384615385</v>
      </c>
      <c r="X23" s="76">
        <f t="shared" si="1"/>
        <v>12.13701923076923</v>
      </c>
      <c r="Y23" s="80">
        <f t="shared" si="1"/>
        <v>8.5673076923076916</v>
      </c>
    </row>
    <row r="24" spans="1:27" x14ac:dyDescent="0.2">
      <c r="A24" s="72" t="s">
        <v>65</v>
      </c>
      <c r="B24" s="56">
        <f>B17*$D$3</f>
        <v>0</v>
      </c>
      <c r="C24" s="77">
        <f t="shared" ref="C24:Y24" si="2">C17*$D$3</f>
        <v>0</v>
      </c>
      <c r="D24" s="77">
        <f t="shared" si="2"/>
        <v>0</v>
      </c>
      <c r="E24" s="77">
        <f t="shared" si="2"/>
        <v>0</v>
      </c>
      <c r="F24" s="77">
        <f t="shared" si="2"/>
        <v>0</v>
      </c>
      <c r="G24" s="77">
        <f t="shared" si="2"/>
        <v>0</v>
      </c>
      <c r="H24" s="77">
        <f t="shared" si="2"/>
        <v>0</v>
      </c>
      <c r="I24" s="77">
        <f t="shared" si="2"/>
        <v>0</v>
      </c>
      <c r="J24" s="77">
        <f t="shared" si="2"/>
        <v>0</v>
      </c>
      <c r="K24" s="77">
        <f t="shared" si="2"/>
        <v>0</v>
      </c>
      <c r="L24" s="77">
        <f t="shared" si="2"/>
        <v>0</v>
      </c>
      <c r="M24" s="77">
        <f t="shared" si="2"/>
        <v>0</v>
      </c>
      <c r="N24" s="77">
        <f t="shared" si="2"/>
        <v>0</v>
      </c>
      <c r="O24" s="77">
        <f t="shared" si="2"/>
        <v>0</v>
      </c>
      <c r="P24" s="77">
        <f t="shared" si="2"/>
        <v>0</v>
      </c>
      <c r="Q24" s="77">
        <f t="shared" si="2"/>
        <v>0</v>
      </c>
      <c r="R24" s="77">
        <f t="shared" si="2"/>
        <v>0</v>
      </c>
      <c r="S24" s="77">
        <f t="shared" si="2"/>
        <v>0</v>
      </c>
      <c r="T24" s="77">
        <f t="shared" si="2"/>
        <v>130.5</v>
      </c>
      <c r="U24" s="77">
        <f>U17*$D$3</f>
        <v>130.5</v>
      </c>
      <c r="V24" s="77">
        <f t="shared" si="2"/>
        <v>0</v>
      </c>
      <c r="W24" s="77">
        <f t="shared" si="2"/>
        <v>0</v>
      </c>
      <c r="X24" s="77">
        <f t="shared" si="2"/>
        <v>0</v>
      </c>
      <c r="Y24" s="81">
        <f t="shared" si="2"/>
        <v>0</v>
      </c>
    </row>
    <row r="25" spans="1:27" ht="16" thickBot="1" x14ac:dyDescent="0.25">
      <c r="A25" s="73" t="s">
        <v>66</v>
      </c>
      <c r="B25" s="57">
        <f>B18*$E$3</f>
        <v>0</v>
      </c>
      <c r="C25" s="82">
        <f t="shared" ref="C25:Y25" si="3">C18*$E$3</f>
        <v>0</v>
      </c>
      <c r="D25" s="82">
        <f t="shared" si="3"/>
        <v>0</v>
      </c>
      <c r="E25" s="82">
        <f t="shared" si="3"/>
        <v>0</v>
      </c>
      <c r="F25" s="82">
        <f t="shared" si="3"/>
        <v>0</v>
      </c>
      <c r="G25" s="82">
        <f t="shared" si="3"/>
        <v>0</v>
      </c>
      <c r="H25" s="82">
        <f t="shared" si="3"/>
        <v>0</v>
      </c>
      <c r="I25" s="82">
        <f t="shared" si="3"/>
        <v>0</v>
      </c>
      <c r="J25" s="82">
        <f t="shared" si="3"/>
        <v>167.16209034543843</v>
      </c>
      <c r="K25" s="82">
        <f t="shared" si="3"/>
        <v>172.74579273693536</v>
      </c>
      <c r="L25" s="82">
        <f t="shared" si="3"/>
        <v>162.97431355181575</v>
      </c>
      <c r="M25" s="82">
        <f t="shared" si="3"/>
        <v>148.31709477413639</v>
      </c>
      <c r="N25" s="82">
        <f t="shared" si="3"/>
        <v>133.65987599645703</v>
      </c>
      <c r="O25" s="82">
        <f t="shared" si="3"/>
        <v>139.24357838795393</v>
      </c>
      <c r="P25" s="82">
        <f t="shared" si="3"/>
        <v>129.47209920283436</v>
      </c>
      <c r="Q25" s="82">
        <f t="shared" si="3"/>
        <v>128.42515500442872</v>
      </c>
      <c r="R25" s="82">
        <f t="shared" si="3"/>
        <v>0</v>
      </c>
      <c r="S25" s="82">
        <f t="shared" si="3"/>
        <v>0</v>
      </c>
      <c r="T25" s="82">
        <f t="shared" si="3"/>
        <v>0</v>
      </c>
      <c r="U25" s="82">
        <f>U18*$E$3</f>
        <v>0</v>
      </c>
      <c r="V25" s="82">
        <f t="shared" si="3"/>
        <v>0</v>
      </c>
      <c r="W25" s="82">
        <f t="shared" si="3"/>
        <v>0</v>
      </c>
      <c r="X25" s="82">
        <f t="shared" si="3"/>
        <v>0</v>
      </c>
      <c r="Y25" s="83">
        <f t="shared" si="3"/>
        <v>0</v>
      </c>
    </row>
    <row r="26" spans="1:27" x14ac:dyDescent="0.2">
      <c r="A26" s="58" t="s">
        <v>72</v>
      </c>
      <c r="B26" s="59">
        <f>SUM(B22:B25)</f>
        <v>13.046123798076923</v>
      </c>
      <c r="C26" s="59">
        <f t="shared" ref="C26:Y26" si="4">SUM(C22:C25)</f>
        <v>10.188401442307692</v>
      </c>
      <c r="D26" s="59">
        <f t="shared" si="4"/>
        <v>8.4489182692307701</v>
      </c>
      <c r="E26" s="59">
        <f t="shared" si="4"/>
        <v>7.8276742788461533</v>
      </c>
      <c r="F26" s="59">
        <f t="shared" si="4"/>
        <v>7.5791766826923084</v>
      </c>
      <c r="G26" s="59">
        <f t="shared" si="4"/>
        <v>9.9399038461538467</v>
      </c>
      <c r="H26" s="59">
        <f t="shared" si="4"/>
        <v>19.010066105769234</v>
      </c>
      <c r="I26" s="59">
        <f t="shared" si="4"/>
        <v>34.913912259615387</v>
      </c>
      <c r="J26" s="59">
        <f t="shared" si="4"/>
        <v>226.67726462428459</v>
      </c>
      <c r="K26" s="59">
        <f t="shared" si="4"/>
        <v>234.24894778501229</v>
      </c>
      <c r="L26" s="59">
        <f t="shared" si="4"/>
        <v>220.99850225373882</v>
      </c>
      <c r="M26" s="59">
        <f t="shared" si="4"/>
        <v>201.12283395682869</v>
      </c>
      <c r="N26" s="59">
        <f t="shared" si="4"/>
        <v>181.24716565991855</v>
      </c>
      <c r="O26" s="59">
        <f>SUM(O22:O25)</f>
        <v>188.81884882064622</v>
      </c>
      <c r="P26" s="59">
        <f t="shared" si="4"/>
        <v>175.56840328937284</v>
      </c>
      <c r="Q26" s="59">
        <f t="shared" si="4"/>
        <v>174.14871269673642</v>
      </c>
      <c r="R26" s="59">
        <f t="shared" si="4"/>
        <v>46.096304086538467</v>
      </c>
      <c r="S26" s="59">
        <f t="shared" si="4"/>
        <v>46.344801682692307</v>
      </c>
      <c r="T26" s="59">
        <f t="shared" si="4"/>
        <v>176.34780649038461</v>
      </c>
      <c r="U26" s="59">
        <f t="shared" si="4"/>
        <v>172.99308894230768</v>
      </c>
      <c r="V26" s="59">
        <f t="shared" si="4"/>
        <v>38.64137620192308</v>
      </c>
      <c r="W26" s="59">
        <f t="shared" si="4"/>
        <v>32.553185096153847</v>
      </c>
      <c r="X26" s="59">
        <f t="shared" si="4"/>
        <v>25.346754807692307</v>
      </c>
      <c r="Y26" s="59">
        <f t="shared" si="4"/>
        <v>17.89182692307692</v>
      </c>
    </row>
    <row r="27" spans="1:27" x14ac:dyDescent="0.2">
      <c r="A27" s="58"/>
    </row>
    <row r="28" spans="1:27" ht="16" thickBot="1" x14ac:dyDescent="0.25"/>
    <row r="29" spans="1:27" ht="16" thickBot="1" x14ac:dyDescent="0.25">
      <c r="A29" s="42" t="str">
        <f>_xlfn.CONCAT(Q5,A3,")")</f>
        <v>Temps d'appel moyen par heure (5 novembre - 2 décembre)</v>
      </c>
      <c r="B29" s="74" t="s">
        <v>38</v>
      </c>
      <c r="C29" s="74" t="s">
        <v>39</v>
      </c>
      <c r="D29" s="74" t="s">
        <v>40</v>
      </c>
      <c r="E29" s="74" t="s">
        <v>41</v>
      </c>
      <c r="F29" s="74" t="s">
        <v>42</v>
      </c>
      <c r="G29" s="74" t="s">
        <v>43</v>
      </c>
      <c r="H29" s="74" t="s">
        <v>44</v>
      </c>
      <c r="I29" s="74" t="s">
        <v>45</v>
      </c>
      <c r="J29" s="74" t="s">
        <v>46</v>
      </c>
      <c r="K29" s="74" t="s">
        <v>47</v>
      </c>
      <c r="L29" s="74" t="s">
        <v>48</v>
      </c>
      <c r="M29" s="74" t="s">
        <v>49</v>
      </c>
      <c r="N29" s="74" t="s">
        <v>50</v>
      </c>
      <c r="O29" s="74" t="s">
        <v>51</v>
      </c>
      <c r="P29" s="74" t="s">
        <v>52</v>
      </c>
      <c r="Q29" s="74" t="s">
        <v>53</v>
      </c>
      <c r="R29" s="74" t="s">
        <v>54</v>
      </c>
      <c r="S29" s="74" t="s">
        <v>55</v>
      </c>
      <c r="T29" s="74" t="s">
        <v>56</v>
      </c>
      <c r="U29" s="74" t="s">
        <v>57</v>
      </c>
      <c r="V29" s="74" t="s">
        <v>58</v>
      </c>
      <c r="W29" s="74" t="s">
        <v>59</v>
      </c>
      <c r="X29" s="74" t="s">
        <v>60</v>
      </c>
      <c r="Y29" s="75" t="s">
        <v>61</v>
      </c>
    </row>
    <row r="30" spans="1:27" x14ac:dyDescent="0.2">
      <c r="A30" s="71" t="s">
        <v>28</v>
      </c>
      <c r="B30" s="54">
        <f>B22*$B$9</f>
        <v>50.993464543269234</v>
      </c>
      <c r="C30" s="78">
        <f t="shared" ref="C30:Y30" si="5">C22*$B$9</f>
        <v>39.82346754807692</v>
      </c>
      <c r="D30" s="78">
        <f t="shared" si="5"/>
        <v>33.024338942307693</v>
      </c>
      <c r="E30" s="78">
        <f t="shared" si="5"/>
        <v>30.596078725961537</v>
      </c>
      <c r="F30" s="78">
        <f t="shared" si="5"/>
        <v>29.624774639423077</v>
      </c>
      <c r="G30" s="78">
        <f t="shared" si="5"/>
        <v>38.85216346153846</v>
      </c>
      <c r="H30" s="78">
        <f t="shared" si="5"/>
        <v>74.304762620192307</v>
      </c>
      <c r="I30" s="78">
        <f t="shared" si="5"/>
        <v>136.46822415865384</v>
      </c>
      <c r="J30" s="78">
        <f t="shared" si="5"/>
        <v>232.62732872596155</v>
      </c>
      <c r="K30" s="78">
        <f t="shared" si="5"/>
        <v>240.39776141826925</v>
      </c>
      <c r="L30" s="78">
        <f t="shared" si="5"/>
        <v>226.79950420673075</v>
      </c>
      <c r="M30" s="78">
        <f t="shared" si="5"/>
        <v>206.40211838942307</v>
      </c>
      <c r="N30" s="78">
        <f t="shared" si="5"/>
        <v>186.00473257211539</v>
      </c>
      <c r="O30" s="78">
        <f t="shared" si="5"/>
        <v>193.77516526442307</v>
      </c>
      <c r="P30" s="78">
        <f t="shared" si="5"/>
        <v>180.17690805288461</v>
      </c>
      <c r="Q30" s="78">
        <f t="shared" si="5"/>
        <v>178.71995192307693</v>
      </c>
      <c r="R30" s="78">
        <f t="shared" si="5"/>
        <v>180.17690805288461</v>
      </c>
      <c r="S30" s="78">
        <f t="shared" si="5"/>
        <v>181.14821213942307</v>
      </c>
      <c r="T30" s="78">
        <f t="shared" si="5"/>
        <v>179.20560396634616</v>
      </c>
      <c r="U30" s="78">
        <f t="shared" si="5"/>
        <v>166.09299879807693</v>
      </c>
      <c r="V30" s="78">
        <f t="shared" si="5"/>
        <v>151.03778545673077</v>
      </c>
      <c r="W30" s="78">
        <f t="shared" si="5"/>
        <v>127.24083533653845</v>
      </c>
      <c r="X30" s="78">
        <f t="shared" si="5"/>
        <v>99.07301682692308</v>
      </c>
      <c r="Y30" s="79">
        <f t="shared" si="5"/>
        <v>69.933894230769226</v>
      </c>
    </row>
    <row r="31" spans="1:27" x14ac:dyDescent="0.2">
      <c r="A31" s="72" t="s">
        <v>63</v>
      </c>
      <c r="B31" s="55">
        <f>B23*$C$9</f>
        <v>34.358473557692307</v>
      </c>
      <c r="C31" s="76">
        <f t="shared" ref="C31:Y31" si="6">C23*$C$9</f>
        <v>26.83233173076923</v>
      </c>
      <c r="D31" s="76">
        <f t="shared" si="6"/>
        <v>22.25120192307692</v>
      </c>
      <c r="E31" s="76">
        <f t="shared" si="6"/>
        <v>20.615084134615383</v>
      </c>
      <c r="F31" s="76">
        <f t="shared" si="6"/>
        <v>19.96063701923077</v>
      </c>
      <c r="G31" s="76">
        <f t="shared" si="6"/>
        <v>26.177884615384617</v>
      </c>
      <c r="H31" s="76">
        <f t="shared" si="6"/>
        <v>50.06520432692308</v>
      </c>
      <c r="I31" s="76">
        <f t="shared" si="6"/>
        <v>91.949819711538467</v>
      </c>
      <c r="J31" s="76">
        <f t="shared" si="6"/>
        <v>156.74008413461539</v>
      </c>
      <c r="K31" s="76">
        <f t="shared" si="6"/>
        <v>161.97566105769232</v>
      </c>
      <c r="L31" s="76">
        <f t="shared" si="6"/>
        <v>152.81340144230768</v>
      </c>
      <c r="M31" s="76">
        <f t="shared" si="6"/>
        <v>139.07001201923077</v>
      </c>
      <c r="N31" s="76">
        <f>N23*$C$9</f>
        <v>125.32662259615384</v>
      </c>
      <c r="O31" s="76">
        <f t="shared" si="6"/>
        <v>130.56219951923077</v>
      </c>
      <c r="P31" s="76">
        <f t="shared" si="6"/>
        <v>121.39993990384616</v>
      </c>
      <c r="Q31" s="76">
        <f t="shared" si="6"/>
        <v>120.41826923076924</v>
      </c>
      <c r="R31" s="76">
        <f t="shared" si="6"/>
        <v>121.39993990384616</v>
      </c>
      <c r="S31" s="76">
        <f t="shared" si="6"/>
        <v>122.05438701923076</v>
      </c>
      <c r="T31" s="76">
        <f t="shared" si="6"/>
        <v>120.74549278846153</v>
      </c>
      <c r="U31" s="76">
        <f t="shared" si="6"/>
        <v>111.91045673076924</v>
      </c>
      <c r="V31" s="76">
        <f t="shared" si="6"/>
        <v>101.76652644230768</v>
      </c>
      <c r="W31" s="76">
        <f t="shared" si="6"/>
        <v>85.732572115384613</v>
      </c>
      <c r="X31" s="76">
        <f t="shared" si="6"/>
        <v>66.753605769230759</v>
      </c>
      <c r="Y31" s="80">
        <f t="shared" si="6"/>
        <v>47.120192307692307</v>
      </c>
    </row>
    <row r="32" spans="1:27" x14ac:dyDescent="0.2">
      <c r="A32" s="72" t="s">
        <v>65</v>
      </c>
      <c r="B32" s="56">
        <f>B24*$D$9</f>
        <v>0</v>
      </c>
      <c r="C32" s="77">
        <f t="shared" ref="C32:Y32" si="7">C24*$D$9</f>
        <v>0</v>
      </c>
      <c r="D32" s="77">
        <f t="shared" si="7"/>
        <v>0</v>
      </c>
      <c r="E32" s="77">
        <f t="shared" si="7"/>
        <v>0</v>
      </c>
      <c r="F32" s="77">
        <f t="shared" si="7"/>
        <v>0</v>
      </c>
      <c r="G32" s="77">
        <f t="shared" si="7"/>
        <v>0</v>
      </c>
      <c r="H32" s="77">
        <f t="shared" si="7"/>
        <v>0</v>
      </c>
      <c r="I32" s="77">
        <f t="shared" si="7"/>
        <v>0</v>
      </c>
      <c r="J32" s="77">
        <f t="shared" si="7"/>
        <v>0</v>
      </c>
      <c r="K32" s="77">
        <f t="shared" si="7"/>
        <v>0</v>
      </c>
      <c r="L32" s="77">
        <f t="shared" si="7"/>
        <v>0</v>
      </c>
      <c r="M32" s="77">
        <f t="shared" si="7"/>
        <v>0</v>
      </c>
      <c r="N32" s="77">
        <f t="shared" si="7"/>
        <v>0</v>
      </c>
      <c r="O32" s="77">
        <f t="shared" si="7"/>
        <v>0</v>
      </c>
      <c r="P32" s="77">
        <f t="shared" si="7"/>
        <v>0</v>
      </c>
      <c r="Q32" s="77">
        <f t="shared" si="7"/>
        <v>0</v>
      </c>
      <c r="R32" s="77">
        <f t="shared" si="7"/>
        <v>0</v>
      </c>
      <c r="S32" s="77">
        <f t="shared" si="7"/>
        <v>0</v>
      </c>
      <c r="T32" s="77">
        <f t="shared" si="7"/>
        <v>717.75</v>
      </c>
      <c r="U32" s="77">
        <f t="shared" si="7"/>
        <v>717.75</v>
      </c>
      <c r="V32" s="77">
        <f t="shared" si="7"/>
        <v>0</v>
      </c>
      <c r="W32" s="77">
        <f t="shared" si="7"/>
        <v>0</v>
      </c>
      <c r="X32" s="77">
        <f t="shared" si="7"/>
        <v>0</v>
      </c>
      <c r="Y32" s="81">
        <f t="shared" si="7"/>
        <v>0</v>
      </c>
    </row>
    <row r="33" spans="1:25" ht="16" thickBot="1" x14ac:dyDescent="0.25">
      <c r="A33" s="73" t="s">
        <v>66</v>
      </c>
      <c r="B33" s="57">
        <f>B25*$E$9</f>
        <v>0</v>
      </c>
      <c r="C33" s="82">
        <f t="shared" ref="C33:Y33" si="8">C25*$E$9</f>
        <v>0</v>
      </c>
      <c r="D33" s="82">
        <f t="shared" si="8"/>
        <v>0</v>
      </c>
      <c r="E33" s="82">
        <f t="shared" si="8"/>
        <v>0</v>
      </c>
      <c r="F33" s="82">
        <f t="shared" si="8"/>
        <v>0</v>
      </c>
      <c r="G33" s="82">
        <f t="shared" si="8"/>
        <v>0</v>
      </c>
      <c r="H33" s="82">
        <f t="shared" si="8"/>
        <v>0</v>
      </c>
      <c r="I33" s="82">
        <f t="shared" si="8"/>
        <v>0</v>
      </c>
      <c r="J33" s="82">
        <f t="shared" si="8"/>
        <v>919.39149689991132</v>
      </c>
      <c r="K33" s="82">
        <f t="shared" si="8"/>
        <v>950.10186005314449</v>
      </c>
      <c r="L33" s="82">
        <f t="shared" si="8"/>
        <v>896.35872453498666</v>
      </c>
      <c r="M33" s="82">
        <f t="shared" si="8"/>
        <v>815.74402125775021</v>
      </c>
      <c r="N33" s="82">
        <f t="shared" si="8"/>
        <v>735.12931798051363</v>
      </c>
      <c r="O33" s="82">
        <f t="shared" si="8"/>
        <v>765.83968113374658</v>
      </c>
      <c r="P33" s="82">
        <f t="shared" si="8"/>
        <v>712.09654561558898</v>
      </c>
      <c r="Q33" s="82">
        <f t="shared" si="8"/>
        <v>706.3383525243579</v>
      </c>
      <c r="R33" s="82">
        <f t="shared" si="8"/>
        <v>0</v>
      </c>
      <c r="S33" s="82">
        <f t="shared" si="8"/>
        <v>0</v>
      </c>
      <c r="T33" s="82">
        <f t="shared" si="8"/>
        <v>0</v>
      </c>
      <c r="U33" s="82">
        <f t="shared" si="8"/>
        <v>0</v>
      </c>
      <c r="V33" s="82">
        <f t="shared" si="8"/>
        <v>0</v>
      </c>
      <c r="W33" s="82">
        <f t="shared" si="8"/>
        <v>0</v>
      </c>
      <c r="X33" s="82">
        <f t="shared" si="8"/>
        <v>0</v>
      </c>
      <c r="Y33" s="83">
        <f t="shared" si="8"/>
        <v>0</v>
      </c>
    </row>
    <row r="34" spans="1:25" x14ac:dyDescent="0.2">
      <c r="A34" s="58" t="s">
        <v>72</v>
      </c>
      <c r="B34" s="59">
        <f>SUM(B30:B33)</f>
        <v>85.351938100961547</v>
      </c>
      <c r="C34" s="59">
        <f t="shared" ref="C34:Y34" si="9">SUM(C30:C33)</f>
        <v>66.655799278846146</v>
      </c>
      <c r="D34" s="59">
        <f t="shared" si="9"/>
        <v>55.275540865384613</v>
      </c>
      <c r="E34" s="59">
        <f t="shared" si="9"/>
        <v>51.21116286057692</v>
      </c>
      <c r="F34" s="59">
        <f t="shared" si="9"/>
        <v>49.585411658653847</v>
      </c>
      <c r="G34" s="59">
        <f t="shared" si="9"/>
        <v>65.03004807692308</v>
      </c>
      <c r="H34" s="59">
        <f t="shared" si="9"/>
        <v>124.36996694711539</v>
      </c>
      <c r="I34" s="59">
        <f t="shared" si="9"/>
        <v>228.41804387019232</v>
      </c>
      <c r="J34" s="59">
        <f t="shared" si="9"/>
        <v>1308.7589097604882</v>
      </c>
      <c r="K34" s="59">
        <f t="shared" si="9"/>
        <v>1352.4752825291062</v>
      </c>
      <c r="L34" s="59">
        <f t="shared" si="9"/>
        <v>1275.9716301840251</v>
      </c>
      <c r="M34" s="59">
        <f t="shared" si="9"/>
        <v>1161.2161516664041</v>
      </c>
      <c r="N34" s="59">
        <f t="shared" si="9"/>
        <v>1046.4606731487829</v>
      </c>
      <c r="O34" s="59">
        <f t="shared" si="9"/>
        <v>1090.1770459174004</v>
      </c>
      <c r="P34" s="59">
        <f t="shared" si="9"/>
        <v>1013.6733935723198</v>
      </c>
      <c r="Q34" s="59">
        <f t="shared" si="9"/>
        <v>1005.4765736782041</v>
      </c>
      <c r="R34" s="59">
        <f t="shared" si="9"/>
        <v>301.57684795673077</v>
      </c>
      <c r="S34" s="59">
        <f t="shared" si="9"/>
        <v>303.20259915865381</v>
      </c>
      <c r="T34" s="59">
        <f t="shared" si="9"/>
        <v>1017.7010967548076</v>
      </c>
      <c r="U34" s="59">
        <f t="shared" si="9"/>
        <v>995.75345552884619</v>
      </c>
      <c r="V34" s="59">
        <f t="shared" si="9"/>
        <v>252.80431189903845</v>
      </c>
      <c r="W34" s="59">
        <f t="shared" si="9"/>
        <v>212.97340745192307</v>
      </c>
      <c r="X34" s="59">
        <f t="shared" si="9"/>
        <v>165.82662259615384</v>
      </c>
      <c r="Y34" s="59">
        <f t="shared" si="9"/>
        <v>117.05408653846153</v>
      </c>
    </row>
    <row r="35" spans="1:25" s="90" customFormat="1" x14ac:dyDescent="0.2">
      <c r="A35" s="89" t="s">
        <v>75</v>
      </c>
      <c r="B35" s="90">
        <f t="shared" ref="B35:J35" si="10">B34/60</f>
        <v>1.4225323016826925</v>
      </c>
      <c r="C35" s="90">
        <f t="shared" si="10"/>
        <v>1.110929987980769</v>
      </c>
      <c r="D35" s="90">
        <f t="shared" si="10"/>
        <v>0.92125901442307689</v>
      </c>
      <c r="E35" s="90">
        <f t="shared" si="10"/>
        <v>0.85351938100961533</v>
      </c>
      <c r="F35" s="90">
        <f t="shared" si="10"/>
        <v>0.82642352764423077</v>
      </c>
      <c r="G35" s="90">
        <f t="shared" si="10"/>
        <v>1.0838341346153846</v>
      </c>
      <c r="H35" s="90">
        <f t="shared" si="10"/>
        <v>2.0728327824519233</v>
      </c>
      <c r="I35" s="90">
        <f t="shared" si="10"/>
        <v>3.8069673978365386</v>
      </c>
      <c r="J35" s="90">
        <f>J34/60</f>
        <v>21.812648496008137</v>
      </c>
      <c r="K35" s="90">
        <f>K34/60</f>
        <v>22.541254708818435</v>
      </c>
      <c r="L35" s="90">
        <f t="shared" ref="L35" si="11">L34/60</f>
        <v>21.266193836400419</v>
      </c>
      <c r="M35" s="90">
        <f t="shared" ref="M35" si="12">M34/60</f>
        <v>19.353602527773401</v>
      </c>
      <c r="N35" s="90">
        <f t="shared" ref="N35" si="13">N34/60</f>
        <v>17.441011219146382</v>
      </c>
      <c r="O35" s="90">
        <f t="shared" ref="O35" si="14">O34/60</f>
        <v>18.169617431956674</v>
      </c>
      <c r="P35" s="90">
        <f t="shared" ref="P35" si="15">P34/60</f>
        <v>16.894556559538664</v>
      </c>
      <c r="Q35" s="90">
        <f t="shared" ref="Q35" si="16">Q34/60</f>
        <v>16.757942894636734</v>
      </c>
      <c r="R35" s="90">
        <f t="shared" ref="R35" si="17">R34/60</f>
        <v>5.0262807992788465</v>
      </c>
      <c r="S35" s="90">
        <f t="shared" ref="S35" si="18">S34/60</f>
        <v>5.0533766526442303</v>
      </c>
      <c r="T35" s="90">
        <f t="shared" ref="T35:U35" si="19">T34/60</f>
        <v>16.961684945913461</v>
      </c>
      <c r="U35" s="90">
        <f t="shared" si="19"/>
        <v>16.59589092548077</v>
      </c>
      <c r="V35" s="90">
        <f t="shared" ref="V35" si="20">V34/60</f>
        <v>4.2134051983173073</v>
      </c>
      <c r="W35" s="90">
        <f t="shared" ref="W35" si="21">W34/60</f>
        <v>3.5495567908653842</v>
      </c>
      <c r="X35" s="90">
        <f t="shared" ref="X35" si="22">X34/60</f>
        <v>2.7637770432692306</v>
      </c>
      <c r="Y35" s="90">
        <f t="shared" ref="Y35" si="23">Y34/60</f>
        <v>1.9509014423076922</v>
      </c>
    </row>
    <row r="36" spans="1:25" ht="16" thickBot="1" x14ac:dyDescent="0.25"/>
    <row r="37" spans="1:25" ht="16" thickBot="1" x14ac:dyDescent="0.25">
      <c r="A37" s="42" t="str">
        <f>_xlfn.CONCAT(J5,A4,")")</f>
        <v>Nombre d'appel moyen par heure (3 décembre - 30 décembre)</v>
      </c>
      <c r="B37" s="74" t="s">
        <v>38</v>
      </c>
      <c r="C37" s="74" t="s">
        <v>39</v>
      </c>
      <c r="D37" s="74" t="s">
        <v>40</v>
      </c>
      <c r="E37" s="74" t="s">
        <v>41</v>
      </c>
      <c r="F37" s="74" t="s">
        <v>42</v>
      </c>
      <c r="G37" s="74" t="s">
        <v>43</v>
      </c>
      <c r="H37" s="74" t="s">
        <v>44</v>
      </c>
      <c r="I37" s="74" t="s">
        <v>45</v>
      </c>
      <c r="J37" s="74" t="s">
        <v>46</v>
      </c>
      <c r="K37" s="74" t="s">
        <v>47</v>
      </c>
      <c r="L37" s="74" t="s">
        <v>48</v>
      </c>
      <c r="M37" s="74" t="s">
        <v>49</v>
      </c>
      <c r="N37" s="74" t="s">
        <v>50</v>
      </c>
      <c r="O37" s="74" t="s">
        <v>51</v>
      </c>
      <c r="P37" s="74" t="s">
        <v>52</v>
      </c>
      <c r="Q37" s="74" t="s">
        <v>53</v>
      </c>
      <c r="R37" s="74" t="s">
        <v>54</v>
      </c>
      <c r="S37" s="74" t="s">
        <v>55</v>
      </c>
      <c r="T37" s="74" t="s">
        <v>56</v>
      </c>
      <c r="U37" s="74" t="s">
        <v>57</v>
      </c>
      <c r="V37" s="74" t="s">
        <v>58</v>
      </c>
      <c r="W37" s="74" t="s">
        <v>59</v>
      </c>
      <c r="X37" s="74" t="s">
        <v>60</v>
      </c>
      <c r="Y37" s="75" t="s">
        <v>61</v>
      </c>
    </row>
    <row r="38" spans="1:25" x14ac:dyDescent="0.2">
      <c r="A38" s="71" t="s">
        <v>28</v>
      </c>
      <c r="B38" s="54">
        <f>B15*$B$4</f>
        <v>13.724459134615385</v>
      </c>
      <c r="C38" s="78">
        <f>C15*$B$4</f>
        <v>10.718149038461538</v>
      </c>
      <c r="D38" s="78">
        <f t="shared" ref="D38:X38" si="24">D15*$B$4</f>
        <v>8.8882211538461533</v>
      </c>
      <c r="E38" s="78">
        <f t="shared" si="24"/>
        <v>8.2346754807692299</v>
      </c>
      <c r="F38" s="78">
        <f t="shared" si="24"/>
        <v>7.9732572115384617</v>
      </c>
      <c r="G38" s="78">
        <f t="shared" si="24"/>
        <v>10.45673076923077</v>
      </c>
      <c r="H38" s="78">
        <f t="shared" si="24"/>
        <v>19.998497596153847</v>
      </c>
      <c r="I38" s="78">
        <f t="shared" si="24"/>
        <v>36.72926682692308</v>
      </c>
      <c r="J38" s="78">
        <f t="shared" si="24"/>
        <v>62.609675480769234</v>
      </c>
      <c r="K38" s="78">
        <f t="shared" si="24"/>
        <v>64.701021634615387</v>
      </c>
      <c r="L38" s="78">
        <f t="shared" si="24"/>
        <v>61.041165865384613</v>
      </c>
      <c r="M38" s="78">
        <f t="shared" si="24"/>
        <v>55.55138221153846</v>
      </c>
      <c r="N38" s="78">
        <f t="shared" si="24"/>
        <v>50.061598557692307</v>
      </c>
      <c r="O38" s="78">
        <f t="shared" si="24"/>
        <v>52.15294471153846</v>
      </c>
      <c r="P38" s="78">
        <f t="shared" si="24"/>
        <v>48.493088942307693</v>
      </c>
      <c r="Q38" s="78">
        <f t="shared" si="24"/>
        <v>48.10096153846154</v>
      </c>
      <c r="R38" s="78">
        <f t="shared" si="24"/>
        <v>48.493088942307693</v>
      </c>
      <c r="S38" s="78">
        <f t="shared" si="24"/>
        <v>48.75450721153846</v>
      </c>
      <c r="T38" s="78">
        <f t="shared" si="24"/>
        <v>48.23167067307692</v>
      </c>
      <c r="U38" s="78">
        <f t="shared" si="24"/>
        <v>44.70252403846154</v>
      </c>
      <c r="V38" s="78">
        <f t="shared" si="24"/>
        <v>40.650540865384613</v>
      </c>
      <c r="W38" s="78">
        <f t="shared" si="24"/>
        <v>34.245793269230766</v>
      </c>
      <c r="X38" s="78">
        <f t="shared" si="24"/>
        <v>26.66466346153846</v>
      </c>
      <c r="Y38" s="79">
        <f t="shared" ref="Y38" si="25">Y15*$B$4</f>
        <v>18.822115384615383</v>
      </c>
    </row>
    <row r="39" spans="1:25" x14ac:dyDescent="0.2">
      <c r="A39" s="72" t="s">
        <v>63</v>
      </c>
      <c r="B39" s="55">
        <f>B16*$C$4</f>
        <v>6.2469951923076925</v>
      </c>
      <c r="C39" s="76">
        <f>C16*$C$4</f>
        <v>4.8786057692307692</v>
      </c>
      <c r="D39" s="76">
        <f t="shared" ref="D39:X39" si="26">D16*$C$4</f>
        <v>4.0456730769230766</v>
      </c>
      <c r="E39" s="76">
        <f t="shared" si="26"/>
        <v>3.748197115384615</v>
      </c>
      <c r="F39" s="76">
        <f t="shared" si="26"/>
        <v>3.6292067307692308</v>
      </c>
      <c r="G39" s="76">
        <f t="shared" si="26"/>
        <v>4.759615384615385</v>
      </c>
      <c r="H39" s="76">
        <f t="shared" si="26"/>
        <v>9.1027644230769234</v>
      </c>
      <c r="I39" s="76">
        <f t="shared" si="26"/>
        <v>16.71814903846154</v>
      </c>
      <c r="J39" s="76">
        <f t="shared" si="26"/>
        <v>28.498197115384617</v>
      </c>
      <c r="K39" s="76">
        <f t="shared" si="26"/>
        <v>29.450120192307693</v>
      </c>
      <c r="L39" s="76">
        <f t="shared" si="26"/>
        <v>27.784254807692307</v>
      </c>
      <c r="M39" s="76">
        <f t="shared" si="26"/>
        <v>25.28545673076923</v>
      </c>
      <c r="N39" s="76">
        <f t="shared" si="26"/>
        <v>22.786658653846153</v>
      </c>
      <c r="O39" s="76">
        <f t="shared" si="26"/>
        <v>23.73858173076923</v>
      </c>
      <c r="P39" s="76">
        <f t="shared" si="26"/>
        <v>22.072716346153847</v>
      </c>
      <c r="Q39" s="76">
        <f t="shared" si="26"/>
        <v>21.89423076923077</v>
      </c>
      <c r="R39" s="76">
        <f t="shared" si="26"/>
        <v>22.072716346153847</v>
      </c>
      <c r="S39" s="76">
        <f t="shared" si="26"/>
        <v>22.19170673076923</v>
      </c>
      <c r="T39" s="76">
        <f t="shared" si="26"/>
        <v>21.95372596153846</v>
      </c>
      <c r="U39" s="76">
        <f t="shared" si="26"/>
        <v>20.34735576923077</v>
      </c>
      <c r="V39" s="76">
        <f t="shared" si="26"/>
        <v>18.503004807692307</v>
      </c>
      <c r="W39" s="76">
        <f t="shared" si="26"/>
        <v>15.587740384615385</v>
      </c>
      <c r="X39" s="76">
        <f t="shared" si="26"/>
        <v>12.13701923076923</v>
      </c>
      <c r="Y39" s="80">
        <f t="shared" ref="Y39" si="27">Y16*$C$4</f>
        <v>8.5673076923076916</v>
      </c>
    </row>
    <row r="40" spans="1:25" x14ac:dyDescent="0.2">
      <c r="A40" s="72" t="s">
        <v>65</v>
      </c>
      <c r="B40" s="55">
        <f>B17*$D$4</f>
        <v>0</v>
      </c>
      <c r="C40" s="76">
        <f>C17*$D$4</f>
        <v>0</v>
      </c>
      <c r="D40" s="76">
        <f t="shared" ref="D40:X40" si="28">D17*$D$4</f>
        <v>0</v>
      </c>
      <c r="E40" s="76">
        <f t="shared" si="28"/>
        <v>0</v>
      </c>
      <c r="F40" s="76">
        <f t="shared" si="28"/>
        <v>0</v>
      </c>
      <c r="G40" s="76">
        <f t="shared" si="28"/>
        <v>0</v>
      </c>
      <c r="H40" s="76">
        <f t="shared" si="28"/>
        <v>0</v>
      </c>
      <c r="I40" s="76">
        <f t="shared" si="28"/>
        <v>0</v>
      </c>
      <c r="J40" s="76">
        <f t="shared" si="28"/>
        <v>0</v>
      </c>
      <c r="K40" s="76">
        <f t="shared" si="28"/>
        <v>0</v>
      </c>
      <c r="L40" s="76">
        <f t="shared" si="28"/>
        <v>0</v>
      </c>
      <c r="M40" s="76">
        <f t="shared" si="28"/>
        <v>0</v>
      </c>
      <c r="N40" s="76">
        <f t="shared" si="28"/>
        <v>0</v>
      </c>
      <c r="O40" s="76">
        <f t="shared" si="28"/>
        <v>0</v>
      </c>
      <c r="P40" s="76">
        <f t="shared" si="28"/>
        <v>0</v>
      </c>
      <c r="Q40" s="76">
        <f t="shared" si="28"/>
        <v>0</v>
      </c>
      <c r="R40" s="76">
        <f t="shared" si="28"/>
        <v>0</v>
      </c>
      <c r="S40" s="76">
        <f t="shared" si="28"/>
        <v>0</v>
      </c>
      <c r="T40" s="76">
        <f t="shared" si="28"/>
        <v>130.5</v>
      </c>
      <c r="U40" s="76">
        <f t="shared" si="28"/>
        <v>130.5</v>
      </c>
      <c r="V40" s="76">
        <f t="shared" si="28"/>
        <v>0</v>
      </c>
      <c r="W40" s="76">
        <f t="shared" si="28"/>
        <v>0</v>
      </c>
      <c r="X40" s="76">
        <f t="shared" si="28"/>
        <v>0</v>
      </c>
      <c r="Y40" s="80">
        <f t="shared" ref="Y40" si="29">Y17*$D$4</f>
        <v>0</v>
      </c>
    </row>
    <row r="41" spans="1:25" ht="16" thickBot="1" x14ac:dyDescent="0.25">
      <c r="A41" s="73" t="s">
        <v>66</v>
      </c>
      <c r="B41" s="57">
        <f t="shared" ref="B41:Y41" si="30">B18*$E$4</f>
        <v>0</v>
      </c>
      <c r="C41" s="82">
        <f>C18*$E$4</f>
        <v>0</v>
      </c>
      <c r="D41" s="82">
        <f t="shared" ref="D41:X41" si="31">D18*$E$4</f>
        <v>0</v>
      </c>
      <c r="E41" s="82">
        <f t="shared" si="31"/>
        <v>0</v>
      </c>
      <c r="F41" s="82">
        <f t="shared" si="31"/>
        <v>0</v>
      </c>
      <c r="G41" s="82">
        <f t="shared" si="31"/>
        <v>0</v>
      </c>
      <c r="H41" s="82">
        <f t="shared" si="31"/>
        <v>0</v>
      </c>
      <c r="I41" s="82">
        <f t="shared" si="31"/>
        <v>0</v>
      </c>
      <c r="J41" s="82">
        <f t="shared" si="31"/>
        <v>167.16209034543843</v>
      </c>
      <c r="K41" s="82">
        <f t="shared" si="31"/>
        <v>172.74579273693536</v>
      </c>
      <c r="L41" s="82">
        <f t="shared" si="31"/>
        <v>162.97431355181575</v>
      </c>
      <c r="M41" s="82">
        <f t="shared" si="31"/>
        <v>148.31709477413639</v>
      </c>
      <c r="N41" s="82">
        <f t="shared" si="31"/>
        <v>133.65987599645703</v>
      </c>
      <c r="O41" s="82">
        <f t="shared" si="31"/>
        <v>139.24357838795393</v>
      </c>
      <c r="P41" s="82">
        <f t="shared" si="31"/>
        <v>129.47209920283436</v>
      </c>
      <c r="Q41" s="82">
        <f t="shared" si="31"/>
        <v>128.42515500442872</v>
      </c>
      <c r="R41" s="82">
        <f t="shared" si="31"/>
        <v>0</v>
      </c>
      <c r="S41" s="82">
        <f t="shared" si="31"/>
        <v>0</v>
      </c>
      <c r="T41" s="82">
        <f t="shared" si="31"/>
        <v>0</v>
      </c>
      <c r="U41" s="82">
        <f t="shared" si="31"/>
        <v>0</v>
      </c>
      <c r="V41" s="82">
        <f t="shared" si="31"/>
        <v>0</v>
      </c>
      <c r="W41" s="82">
        <f t="shared" si="31"/>
        <v>0</v>
      </c>
      <c r="X41" s="82">
        <f t="shared" si="31"/>
        <v>0</v>
      </c>
      <c r="Y41" s="83">
        <f t="shared" si="30"/>
        <v>0</v>
      </c>
    </row>
    <row r="42" spans="1:25" x14ac:dyDescent="0.2">
      <c r="A42" s="58" t="s">
        <v>72</v>
      </c>
      <c r="B42" s="59">
        <f>SUM(B38:B41)</f>
        <v>19.971454326923077</v>
      </c>
      <c r="C42" s="59">
        <f t="shared" ref="C42:Y42" si="32">SUM(C38:C41)</f>
        <v>15.596754807692307</v>
      </c>
      <c r="D42" s="59">
        <f t="shared" si="32"/>
        <v>12.93389423076923</v>
      </c>
      <c r="E42" s="59">
        <f t="shared" si="32"/>
        <v>11.982872596153845</v>
      </c>
      <c r="F42" s="59">
        <f t="shared" si="32"/>
        <v>11.602463942307693</v>
      </c>
      <c r="G42" s="59">
        <f t="shared" si="32"/>
        <v>15.216346153846155</v>
      </c>
      <c r="H42" s="59">
        <f t="shared" si="32"/>
        <v>29.10126201923077</v>
      </c>
      <c r="I42" s="59">
        <f t="shared" si="32"/>
        <v>53.44741586538462</v>
      </c>
      <c r="J42" s="59">
        <f t="shared" si="32"/>
        <v>258.26996294159227</v>
      </c>
      <c r="K42" s="59">
        <f t="shared" si="32"/>
        <v>266.89693456385845</v>
      </c>
      <c r="L42" s="59">
        <f t="shared" si="32"/>
        <v>251.79973422489269</v>
      </c>
      <c r="M42" s="59">
        <f t="shared" si="32"/>
        <v>229.1539337164441</v>
      </c>
      <c r="N42" s="59">
        <f t="shared" si="32"/>
        <v>206.50813320799548</v>
      </c>
      <c r="O42" s="59">
        <f t="shared" si="32"/>
        <v>215.13510483026164</v>
      </c>
      <c r="P42" s="59">
        <f t="shared" si="32"/>
        <v>200.0379044912959</v>
      </c>
      <c r="Q42" s="59">
        <f t="shared" si="32"/>
        <v>198.42034731212101</v>
      </c>
      <c r="R42" s="59">
        <f t="shared" si="32"/>
        <v>70.565805288461547</v>
      </c>
      <c r="S42" s="59">
        <f t="shared" si="32"/>
        <v>70.946213942307693</v>
      </c>
      <c r="T42" s="59">
        <f t="shared" si="32"/>
        <v>200.68539663461539</v>
      </c>
      <c r="U42" s="59">
        <f t="shared" si="32"/>
        <v>195.54987980769232</v>
      </c>
      <c r="V42" s="59">
        <f t="shared" si="32"/>
        <v>59.15354567307692</v>
      </c>
      <c r="W42" s="59">
        <f t="shared" si="32"/>
        <v>49.833533653846153</v>
      </c>
      <c r="X42" s="59">
        <f t="shared" si="32"/>
        <v>38.801682692307693</v>
      </c>
      <c r="Y42" s="59">
        <f t="shared" si="32"/>
        <v>27.389423076923073</v>
      </c>
    </row>
    <row r="43" spans="1:25" x14ac:dyDescent="0.2">
      <c r="A43" s="58"/>
    </row>
    <row r="44" spans="1:25" ht="16" thickBot="1" x14ac:dyDescent="0.25"/>
    <row r="45" spans="1:25" ht="16" thickBot="1" x14ac:dyDescent="0.25">
      <c r="A45" s="42" t="str">
        <f>_xlfn.CONCAT(Q5,A4,")")</f>
        <v>Temps d'appel moyen par heure (3 décembre - 30 décembre)</v>
      </c>
      <c r="B45" s="74" t="s">
        <v>38</v>
      </c>
      <c r="C45" s="74" t="s">
        <v>39</v>
      </c>
      <c r="D45" s="74" t="s">
        <v>40</v>
      </c>
      <c r="E45" s="74" t="s">
        <v>41</v>
      </c>
      <c r="F45" s="74" t="s">
        <v>42</v>
      </c>
      <c r="G45" s="74" t="s">
        <v>43</v>
      </c>
      <c r="H45" s="74" t="s">
        <v>44</v>
      </c>
      <c r="I45" s="74" t="s">
        <v>45</v>
      </c>
      <c r="J45" s="74" t="s">
        <v>46</v>
      </c>
      <c r="K45" s="74" t="s">
        <v>47</v>
      </c>
      <c r="L45" s="74" t="s">
        <v>48</v>
      </c>
      <c r="M45" s="74" t="s">
        <v>49</v>
      </c>
      <c r="N45" s="74" t="s">
        <v>50</v>
      </c>
      <c r="O45" s="74" t="s">
        <v>51</v>
      </c>
      <c r="P45" s="74" t="s">
        <v>52</v>
      </c>
      <c r="Q45" s="74" t="s">
        <v>53</v>
      </c>
      <c r="R45" s="74" t="s">
        <v>54</v>
      </c>
      <c r="S45" s="74" t="s">
        <v>55</v>
      </c>
      <c r="T45" s="74" t="s">
        <v>56</v>
      </c>
      <c r="U45" s="74" t="s">
        <v>57</v>
      </c>
      <c r="V45" s="74" t="s">
        <v>58</v>
      </c>
      <c r="W45" s="74" t="s">
        <v>59</v>
      </c>
      <c r="X45" s="74" t="s">
        <v>60</v>
      </c>
      <c r="Y45" s="75" t="s">
        <v>61</v>
      </c>
    </row>
    <row r="46" spans="1:25" x14ac:dyDescent="0.2">
      <c r="A46" s="71" t="s">
        <v>28</v>
      </c>
      <c r="B46" s="54">
        <f>B38*$B$9</f>
        <v>102.93344350961539</v>
      </c>
      <c r="C46" s="78">
        <f t="shared" ref="C46:Y46" si="33">C38*$B$9</f>
        <v>80.386117788461533</v>
      </c>
      <c r="D46" s="78">
        <f t="shared" si="33"/>
        <v>66.661658653846146</v>
      </c>
      <c r="E46" s="78">
        <f t="shared" si="33"/>
        <v>61.760066105769226</v>
      </c>
      <c r="F46" s="78">
        <f t="shared" si="33"/>
        <v>59.79942908653846</v>
      </c>
      <c r="G46" s="78">
        <f t="shared" si="33"/>
        <v>78.425480769230774</v>
      </c>
      <c r="H46" s="78">
        <f t="shared" si="33"/>
        <v>149.98873197115384</v>
      </c>
      <c r="I46" s="78">
        <f t="shared" si="33"/>
        <v>275.46950120192309</v>
      </c>
      <c r="J46" s="78">
        <f t="shared" si="33"/>
        <v>469.57256610576923</v>
      </c>
      <c r="K46" s="78">
        <f t="shared" si="33"/>
        <v>485.25766225961542</v>
      </c>
      <c r="L46" s="78">
        <f t="shared" si="33"/>
        <v>457.80874399038458</v>
      </c>
      <c r="M46" s="78">
        <f t="shared" si="33"/>
        <v>416.63536658653845</v>
      </c>
      <c r="N46" s="78">
        <f t="shared" si="33"/>
        <v>375.46198918269232</v>
      </c>
      <c r="O46" s="78">
        <f t="shared" si="33"/>
        <v>391.14708533653845</v>
      </c>
      <c r="P46" s="78">
        <f t="shared" si="33"/>
        <v>363.69816706730768</v>
      </c>
      <c r="Q46" s="78">
        <f t="shared" si="33"/>
        <v>360.75721153846155</v>
      </c>
      <c r="R46" s="78">
        <f t="shared" si="33"/>
        <v>363.69816706730768</v>
      </c>
      <c r="S46" s="78">
        <f t="shared" si="33"/>
        <v>365.65880408653845</v>
      </c>
      <c r="T46" s="78">
        <f t="shared" si="33"/>
        <v>361.73753004807691</v>
      </c>
      <c r="U46" s="78">
        <f t="shared" si="33"/>
        <v>335.26893028846155</v>
      </c>
      <c r="V46" s="78">
        <f t="shared" si="33"/>
        <v>304.87905649038458</v>
      </c>
      <c r="W46" s="78">
        <f t="shared" si="33"/>
        <v>256.84344951923077</v>
      </c>
      <c r="X46" s="78">
        <f t="shared" si="33"/>
        <v>199.98497596153845</v>
      </c>
      <c r="Y46" s="79">
        <f t="shared" si="33"/>
        <v>141.16586538461539</v>
      </c>
    </row>
    <row r="47" spans="1:25" x14ac:dyDescent="0.2">
      <c r="A47" s="72" t="s">
        <v>63</v>
      </c>
      <c r="B47" s="55">
        <f>B39*$C$9</f>
        <v>34.358473557692307</v>
      </c>
      <c r="C47" s="76">
        <f t="shared" ref="C47:Y47" si="34">C39*$C$9</f>
        <v>26.83233173076923</v>
      </c>
      <c r="D47" s="76">
        <f t="shared" si="34"/>
        <v>22.25120192307692</v>
      </c>
      <c r="E47" s="76">
        <f t="shared" si="34"/>
        <v>20.615084134615383</v>
      </c>
      <c r="F47" s="76">
        <f t="shared" si="34"/>
        <v>19.96063701923077</v>
      </c>
      <c r="G47" s="76">
        <f t="shared" si="34"/>
        <v>26.177884615384617</v>
      </c>
      <c r="H47" s="76">
        <f t="shared" si="34"/>
        <v>50.06520432692308</v>
      </c>
      <c r="I47" s="76">
        <f t="shared" si="34"/>
        <v>91.949819711538467</v>
      </c>
      <c r="J47" s="76">
        <f t="shared" si="34"/>
        <v>156.74008413461539</v>
      </c>
      <c r="K47" s="76">
        <f t="shared" si="34"/>
        <v>161.97566105769232</v>
      </c>
      <c r="L47" s="76">
        <f t="shared" si="34"/>
        <v>152.81340144230768</v>
      </c>
      <c r="M47" s="76">
        <f t="shared" si="34"/>
        <v>139.07001201923077</v>
      </c>
      <c r="N47" s="76">
        <f t="shared" si="34"/>
        <v>125.32662259615384</v>
      </c>
      <c r="O47" s="76">
        <f t="shared" si="34"/>
        <v>130.56219951923077</v>
      </c>
      <c r="P47" s="76">
        <f t="shared" si="34"/>
        <v>121.39993990384616</v>
      </c>
      <c r="Q47" s="76">
        <f t="shared" si="34"/>
        <v>120.41826923076924</v>
      </c>
      <c r="R47" s="76">
        <f t="shared" si="34"/>
        <v>121.39993990384616</v>
      </c>
      <c r="S47" s="76">
        <f t="shared" si="34"/>
        <v>122.05438701923076</v>
      </c>
      <c r="T47" s="76">
        <f t="shared" si="34"/>
        <v>120.74549278846153</v>
      </c>
      <c r="U47" s="76">
        <f t="shared" si="34"/>
        <v>111.91045673076924</v>
      </c>
      <c r="V47" s="76">
        <f t="shared" si="34"/>
        <v>101.76652644230768</v>
      </c>
      <c r="W47" s="76">
        <f t="shared" si="34"/>
        <v>85.732572115384613</v>
      </c>
      <c r="X47" s="76">
        <f t="shared" si="34"/>
        <v>66.753605769230759</v>
      </c>
      <c r="Y47" s="80">
        <f t="shared" si="34"/>
        <v>47.120192307692307</v>
      </c>
    </row>
    <row r="48" spans="1:25" x14ac:dyDescent="0.2">
      <c r="A48" s="72" t="s">
        <v>65</v>
      </c>
      <c r="B48" s="56">
        <f>B40*$D$9</f>
        <v>0</v>
      </c>
      <c r="C48" s="77">
        <f t="shared" ref="C48:Y48" si="35">C40*$D$9</f>
        <v>0</v>
      </c>
      <c r="D48" s="77">
        <f t="shared" si="35"/>
        <v>0</v>
      </c>
      <c r="E48" s="77">
        <f t="shared" si="35"/>
        <v>0</v>
      </c>
      <c r="F48" s="77">
        <f t="shared" si="35"/>
        <v>0</v>
      </c>
      <c r="G48" s="77">
        <f t="shared" si="35"/>
        <v>0</v>
      </c>
      <c r="H48" s="77">
        <f t="shared" si="35"/>
        <v>0</v>
      </c>
      <c r="I48" s="77">
        <f t="shared" si="35"/>
        <v>0</v>
      </c>
      <c r="J48" s="77">
        <f t="shared" si="35"/>
        <v>0</v>
      </c>
      <c r="K48" s="77">
        <f t="shared" si="35"/>
        <v>0</v>
      </c>
      <c r="L48" s="77">
        <f t="shared" si="35"/>
        <v>0</v>
      </c>
      <c r="M48" s="77">
        <f t="shared" si="35"/>
        <v>0</v>
      </c>
      <c r="N48" s="77">
        <f t="shared" si="35"/>
        <v>0</v>
      </c>
      <c r="O48" s="77">
        <f t="shared" si="35"/>
        <v>0</v>
      </c>
      <c r="P48" s="77">
        <f t="shared" si="35"/>
        <v>0</v>
      </c>
      <c r="Q48" s="77">
        <f t="shared" si="35"/>
        <v>0</v>
      </c>
      <c r="R48" s="77">
        <f t="shared" si="35"/>
        <v>0</v>
      </c>
      <c r="S48" s="77">
        <f t="shared" si="35"/>
        <v>0</v>
      </c>
      <c r="T48" s="77">
        <f t="shared" si="35"/>
        <v>717.75</v>
      </c>
      <c r="U48" s="77">
        <f t="shared" si="35"/>
        <v>717.75</v>
      </c>
      <c r="V48" s="77">
        <f t="shared" si="35"/>
        <v>0</v>
      </c>
      <c r="W48" s="77">
        <f t="shared" si="35"/>
        <v>0</v>
      </c>
      <c r="X48" s="77">
        <f t="shared" si="35"/>
        <v>0</v>
      </c>
      <c r="Y48" s="81">
        <f t="shared" si="35"/>
        <v>0</v>
      </c>
    </row>
    <row r="49" spans="1:25" ht="16" thickBot="1" x14ac:dyDescent="0.25">
      <c r="A49" s="73" t="s">
        <v>66</v>
      </c>
      <c r="B49" s="57">
        <f>B41*$E$9</f>
        <v>0</v>
      </c>
      <c r="C49" s="82">
        <f t="shared" ref="C49:Y49" si="36">C41*$E$9</f>
        <v>0</v>
      </c>
      <c r="D49" s="82">
        <f t="shared" si="36"/>
        <v>0</v>
      </c>
      <c r="E49" s="82">
        <f t="shared" si="36"/>
        <v>0</v>
      </c>
      <c r="F49" s="82">
        <f t="shared" si="36"/>
        <v>0</v>
      </c>
      <c r="G49" s="82">
        <f t="shared" si="36"/>
        <v>0</v>
      </c>
      <c r="H49" s="82">
        <f t="shared" si="36"/>
        <v>0</v>
      </c>
      <c r="I49" s="82">
        <f t="shared" si="36"/>
        <v>0</v>
      </c>
      <c r="J49" s="82">
        <f t="shared" si="36"/>
        <v>919.39149689991132</v>
      </c>
      <c r="K49" s="82">
        <f t="shared" si="36"/>
        <v>950.10186005314449</v>
      </c>
      <c r="L49" s="82">
        <f t="shared" si="36"/>
        <v>896.35872453498666</v>
      </c>
      <c r="M49" s="82">
        <f t="shared" si="36"/>
        <v>815.74402125775021</v>
      </c>
      <c r="N49" s="82">
        <f t="shared" si="36"/>
        <v>735.12931798051363</v>
      </c>
      <c r="O49" s="82">
        <f t="shared" si="36"/>
        <v>765.83968113374658</v>
      </c>
      <c r="P49" s="82">
        <f t="shared" si="36"/>
        <v>712.09654561558898</v>
      </c>
      <c r="Q49" s="82">
        <f t="shared" si="36"/>
        <v>706.3383525243579</v>
      </c>
      <c r="R49" s="82">
        <f t="shared" si="36"/>
        <v>0</v>
      </c>
      <c r="S49" s="82">
        <f t="shared" si="36"/>
        <v>0</v>
      </c>
      <c r="T49" s="82">
        <f t="shared" si="36"/>
        <v>0</v>
      </c>
      <c r="U49" s="82">
        <f t="shared" si="36"/>
        <v>0</v>
      </c>
      <c r="V49" s="82">
        <f t="shared" si="36"/>
        <v>0</v>
      </c>
      <c r="W49" s="82">
        <f t="shared" si="36"/>
        <v>0</v>
      </c>
      <c r="X49" s="82">
        <f t="shared" si="36"/>
        <v>0</v>
      </c>
      <c r="Y49" s="83">
        <f t="shared" si="36"/>
        <v>0</v>
      </c>
    </row>
    <row r="50" spans="1:25" x14ac:dyDescent="0.2">
      <c r="A50" s="58" t="s">
        <v>72</v>
      </c>
      <c r="B50" s="59">
        <f t="shared" ref="B50:Y50" si="37">SUM(B46:B49)</f>
        <v>137.29191706730768</v>
      </c>
      <c r="C50" s="59">
        <f t="shared" si="37"/>
        <v>107.21844951923076</v>
      </c>
      <c r="D50" s="59">
        <f t="shared" si="37"/>
        <v>88.912860576923066</v>
      </c>
      <c r="E50" s="59">
        <f t="shared" si="37"/>
        <v>82.375150240384613</v>
      </c>
      <c r="F50" s="59">
        <f t="shared" si="37"/>
        <v>79.760066105769226</v>
      </c>
      <c r="G50" s="59">
        <f t="shared" si="37"/>
        <v>104.60336538461539</v>
      </c>
      <c r="H50" s="59">
        <f t="shared" si="37"/>
        <v>200.05393629807691</v>
      </c>
      <c r="I50" s="59">
        <f t="shared" si="37"/>
        <v>367.41932091346155</v>
      </c>
      <c r="J50" s="59">
        <f t="shared" si="37"/>
        <v>1545.7041471402958</v>
      </c>
      <c r="K50" s="59">
        <f t="shared" si="37"/>
        <v>1597.3351833704523</v>
      </c>
      <c r="L50" s="59">
        <f t="shared" si="37"/>
        <v>1506.9808699676789</v>
      </c>
      <c r="M50" s="59">
        <f t="shared" si="37"/>
        <v>1371.4493998635194</v>
      </c>
      <c r="N50" s="59">
        <f t="shared" si="37"/>
        <v>1235.9179297593598</v>
      </c>
      <c r="O50" s="59">
        <f t="shared" si="37"/>
        <v>1287.5489659895159</v>
      </c>
      <c r="P50" s="59">
        <f t="shared" si="37"/>
        <v>1197.1946525867429</v>
      </c>
      <c r="Q50" s="59">
        <f t="shared" si="37"/>
        <v>1187.5138332935887</v>
      </c>
      <c r="R50" s="59">
        <f t="shared" si="37"/>
        <v>485.09810697115381</v>
      </c>
      <c r="S50" s="59">
        <f t="shared" si="37"/>
        <v>487.71319110576923</v>
      </c>
      <c r="T50" s="59">
        <f t="shared" si="37"/>
        <v>1200.2330228365386</v>
      </c>
      <c r="U50" s="59">
        <f t="shared" si="37"/>
        <v>1164.9293870192307</v>
      </c>
      <c r="V50" s="59">
        <f t="shared" si="37"/>
        <v>406.64558293269226</v>
      </c>
      <c r="W50" s="59">
        <f t="shared" si="37"/>
        <v>342.57602163461536</v>
      </c>
      <c r="X50" s="59">
        <f t="shared" si="37"/>
        <v>266.73858173076923</v>
      </c>
      <c r="Y50" s="59">
        <f t="shared" si="37"/>
        <v>188.28605769230768</v>
      </c>
    </row>
    <row r="51" spans="1:25" s="90" customFormat="1" x14ac:dyDescent="0.2">
      <c r="A51" s="89" t="s">
        <v>75</v>
      </c>
      <c r="B51" s="90">
        <f>B50/60</f>
        <v>2.2881986177884612</v>
      </c>
      <c r="C51" s="90">
        <f t="shared" ref="C51:Y51" si="38">C50/60</f>
        <v>1.7869741586538459</v>
      </c>
      <c r="D51" s="90">
        <f t="shared" si="38"/>
        <v>1.4818810096153845</v>
      </c>
      <c r="E51" s="90">
        <f t="shared" si="38"/>
        <v>1.3729191706730768</v>
      </c>
      <c r="F51" s="90">
        <f t="shared" si="38"/>
        <v>1.3293344350961538</v>
      </c>
      <c r="G51" s="90">
        <f t="shared" si="38"/>
        <v>1.7433894230769231</v>
      </c>
      <c r="H51" s="90">
        <f t="shared" si="38"/>
        <v>3.3342322716346149</v>
      </c>
      <c r="I51" s="90">
        <f t="shared" si="38"/>
        <v>6.1236553485576923</v>
      </c>
      <c r="J51" s="90">
        <f t="shared" si="38"/>
        <v>25.761735785671597</v>
      </c>
      <c r="K51" s="90">
        <f t="shared" si="38"/>
        <v>26.622253056174205</v>
      </c>
      <c r="L51" s="90">
        <f t="shared" si="38"/>
        <v>25.116347832794649</v>
      </c>
      <c r="M51" s="90">
        <f t="shared" si="38"/>
        <v>22.857489997725324</v>
      </c>
      <c r="N51" s="90">
        <f t="shared" si="38"/>
        <v>20.598632162655996</v>
      </c>
      <c r="O51" s="90">
        <f t="shared" si="38"/>
        <v>21.459149433158597</v>
      </c>
      <c r="P51" s="90">
        <f t="shared" si="38"/>
        <v>19.953244209779047</v>
      </c>
      <c r="Q51" s="90">
        <f t="shared" si="38"/>
        <v>19.791897221559811</v>
      </c>
      <c r="R51" s="90">
        <f t="shared" si="38"/>
        <v>8.0849684495192307</v>
      </c>
      <c r="S51" s="90">
        <f t="shared" si="38"/>
        <v>8.1285531850961537</v>
      </c>
      <c r="T51" s="90">
        <f t="shared" si="38"/>
        <v>20.003883713942308</v>
      </c>
      <c r="U51" s="90">
        <f t="shared" si="38"/>
        <v>19.415489783653847</v>
      </c>
      <c r="V51" s="90">
        <f t="shared" si="38"/>
        <v>6.7774263822115381</v>
      </c>
      <c r="W51" s="90">
        <f t="shared" si="38"/>
        <v>5.709600360576923</v>
      </c>
      <c r="X51" s="90">
        <f t="shared" si="38"/>
        <v>4.4456430288461535</v>
      </c>
      <c r="Y51" s="90">
        <f t="shared" si="38"/>
        <v>3.1381009615384614</v>
      </c>
    </row>
  </sheetData>
  <mergeCells count="1">
    <mergeCell ref="B1:E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Données CARS</vt:lpstr>
      <vt:lpstr>Données sur les appels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2025-10-30T01:10:38Z</dcterms:created>
  <dcterms:modified xsi:type="dcterms:W3CDTF">2025-10-31T00:13:30Z</dcterms:modified>
</cp:coreProperties>
</file>